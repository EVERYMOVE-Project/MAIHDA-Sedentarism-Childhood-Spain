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892" documentId="11_F25DC773A252ABDACC10487F095D4F545ADE58EF" xr6:coauthVersionLast="47" xr6:coauthVersionMax="47" xr10:uidLastSave="{BB7623CD-78B0-4C26-9D2F-524AA7C5D19C}"/>
  <bookViews>
    <workbookView xWindow="28680" yWindow="-120" windowWidth="29040" windowHeight="15720" firstSheet="4" activeTab="8" xr2:uid="{00000000-000D-0000-FFFF-FFFF00000000}"/>
  </bookViews>
  <sheets>
    <sheet name="Table 1" sheetId="4" r:id="rId1"/>
    <sheet name="Models" sheetId="5" r:id="rId2"/>
    <sheet name="Prevalence Sedentarism" sheetId="6" r:id="rId3"/>
    <sheet name="Figure 2 Predicted Prob" sheetId="3" r:id="rId4"/>
    <sheet name="Figure 3 Residual Simulation" sheetId="1" r:id="rId5"/>
    <sheet name="Figure 3 Residual no Simulation" sheetId="2" r:id="rId6"/>
    <sheet name="STATA Predicted Prob" sheetId="9" r:id="rId7"/>
    <sheet name="STATA Residual" sheetId="7" r:id="rId8"/>
    <sheet name="Codebook STATA variables" sheetId="11" r:id="rId9"/>
    <sheet name="Formulas" sheetId="8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2" i="9"/>
  <c r="O73" i="8"/>
  <c r="N73" i="8"/>
  <c r="M73" i="8"/>
  <c r="L73" i="8"/>
  <c r="K73" i="8"/>
  <c r="O72" i="8"/>
  <c r="N72" i="8"/>
  <c r="M72" i="8"/>
  <c r="L72" i="8"/>
  <c r="K72" i="8"/>
  <c r="O71" i="8"/>
  <c r="N71" i="8"/>
  <c r="M71" i="8"/>
  <c r="L71" i="8"/>
  <c r="K71" i="8"/>
  <c r="O70" i="8"/>
  <c r="N70" i="8"/>
  <c r="M70" i="8"/>
  <c r="L70" i="8"/>
  <c r="K70" i="8"/>
  <c r="O69" i="8"/>
  <c r="N69" i="8"/>
  <c r="M69" i="8"/>
  <c r="L69" i="8"/>
  <c r="K69" i="8"/>
  <c r="O68" i="8"/>
  <c r="N68" i="8"/>
  <c r="M68" i="8"/>
  <c r="L68" i="8"/>
  <c r="K68" i="8"/>
  <c r="O67" i="8"/>
  <c r="N67" i="8"/>
  <c r="M67" i="8"/>
  <c r="L67" i="8"/>
  <c r="K67" i="8"/>
  <c r="O66" i="8"/>
  <c r="N66" i="8"/>
  <c r="M66" i="8"/>
  <c r="L66" i="8"/>
  <c r="K66" i="8"/>
  <c r="O65" i="8"/>
  <c r="N65" i="8"/>
  <c r="M65" i="8"/>
  <c r="L65" i="8"/>
  <c r="K65" i="8"/>
  <c r="O64" i="8"/>
  <c r="N64" i="8"/>
  <c r="M64" i="8"/>
  <c r="L64" i="8"/>
  <c r="K64" i="8"/>
  <c r="O63" i="8"/>
  <c r="N63" i="8"/>
  <c r="M63" i="8"/>
  <c r="L63" i="8"/>
  <c r="K63" i="8"/>
  <c r="O62" i="8"/>
  <c r="N62" i="8"/>
  <c r="M62" i="8"/>
  <c r="L62" i="8"/>
  <c r="K62" i="8"/>
  <c r="O61" i="8"/>
  <c r="N61" i="8"/>
  <c r="M61" i="8"/>
  <c r="L61" i="8"/>
  <c r="K61" i="8"/>
  <c r="O60" i="8"/>
  <c r="N60" i="8"/>
  <c r="M60" i="8"/>
  <c r="L60" i="8"/>
  <c r="K60" i="8"/>
  <c r="O59" i="8"/>
  <c r="N59" i="8"/>
  <c r="M59" i="8"/>
  <c r="L59" i="8"/>
  <c r="K59" i="8"/>
  <c r="O58" i="8"/>
  <c r="N58" i="8"/>
  <c r="M58" i="8"/>
  <c r="L58" i="8"/>
  <c r="K58" i="8"/>
  <c r="O57" i="8"/>
  <c r="N57" i="8"/>
  <c r="M57" i="8"/>
  <c r="L57" i="8"/>
  <c r="K57" i="8"/>
  <c r="O56" i="8"/>
  <c r="N56" i="8"/>
  <c r="M56" i="8"/>
  <c r="L56" i="8"/>
  <c r="K56" i="8"/>
  <c r="O55" i="8"/>
  <c r="N55" i="8"/>
  <c r="M55" i="8"/>
  <c r="L55" i="8"/>
  <c r="K55" i="8"/>
  <c r="O54" i="8"/>
  <c r="N54" i="8"/>
  <c r="M54" i="8"/>
  <c r="L54" i="8"/>
  <c r="K54" i="8"/>
  <c r="O53" i="8"/>
  <c r="N53" i="8"/>
  <c r="M53" i="8"/>
  <c r="L53" i="8"/>
  <c r="K53" i="8"/>
  <c r="O52" i="8"/>
  <c r="N52" i="8"/>
  <c r="M52" i="8"/>
  <c r="L52" i="8"/>
  <c r="K52" i="8"/>
  <c r="O51" i="8"/>
  <c r="N51" i="8"/>
  <c r="M51" i="8"/>
  <c r="L51" i="8"/>
  <c r="K51" i="8"/>
  <c r="O50" i="8"/>
  <c r="N50" i="8"/>
  <c r="M50" i="8"/>
  <c r="L50" i="8"/>
  <c r="K50" i="8"/>
  <c r="O49" i="8"/>
  <c r="N49" i="8"/>
  <c r="M49" i="8"/>
  <c r="L49" i="8"/>
  <c r="K49" i="8"/>
  <c r="O48" i="8"/>
  <c r="N48" i="8"/>
  <c r="M48" i="8"/>
  <c r="L48" i="8"/>
  <c r="K48" i="8"/>
  <c r="O47" i="8"/>
  <c r="N47" i="8"/>
  <c r="M47" i="8"/>
  <c r="L47" i="8"/>
  <c r="K47" i="8"/>
  <c r="O46" i="8"/>
  <c r="N46" i="8"/>
  <c r="M46" i="8"/>
  <c r="L46" i="8"/>
  <c r="K46" i="8"/>
  <c r="O45" i="8"/>
  <c r="N45" i="8"/>
  <c r="M45" i="8"/>
  <c r="L45" i="8"/>
  <c r="K45" i="8"/>
  <c r="O44" i="8"/>
  <c r="N44" i="8"/>
  <c r="M44" i="8"/>
  <c r="L44" i="8"/>
  <c r="K44" i="8"/>
  <c r="O43" i="8"/>
  <c r="N43" i="8"/>
  <c r="M43" i="8"/>
  <c r="L43" i="8"/>
  <c r="K43" i="8"/>
  <c r="O42" i="8"/>
  <c r="N42" i="8"/>
  <c r="M42" i="8"/>
  <c r="L42" i="8"/>
  <c r="K42" i="8"/>
  <c r="O41" i="8"/>
  <c r="N41" i="8"/>
  <c r="M41" i="8"/>
  <c r="L41" i="8"/>
  <c r="K41" i="8"/>
  <c r="O40" i="8"/>
  <c r="N40" i="8"/>
  <c r="M40" i="8"/>
  <c r="L40" i="8"/>
  <c r="K40" i="8"/>
  <c r="O39" i="8"/>
  <c r="N39" i="8"/>
  <c r="M39" i="8"/>
  <c r="L39" i="8"/>
  <c r="K39" i="8"/>
  <c r="O38" i="8"/>
  <c r="N38" i="8"/>
  <c r="M38" i="8"/>
  <c r="L38" i="8"/>
  <c r="K38" i="8"/>
  <c r="O37" i="8"/>
  <c r="N37" i="8"/>
  <c r="M37" i="8"/>
  <c r="L37" i="8"/>
  <c r="K37" i="8"/>
  <c r="O36" i="8"/>
  <c r="N36" i="8"/>
  <c r="M36" i="8"/>
  <c r="L36" i="8"/>
  <c r="K36" i="8"/>
  <c r="O35" i="8"/>
  <c r="N35" i="8"/>
  <c r="M35" i="8"/>
  <c r="L35" i="8"/>
  <c r="K35" i="8"/>
  <c r="O34" i="8"/>
  <c r="N34" i="8"/>
  <c r="M34" i="8"/>
  <c r="L34" i="8"/>
  <c r="K34" i="8"/>
  <c r="O33" i="8"/>
  <c r="N33" i="8"/>
  <c r="M33" i="8"/>
  <c r="L33" i="8"/>
  <c r="K33" i="8"/>
  <c r="O32" i="8"/>
  <c r="N32" i="8"/>
  <c r="M32" i="8"/>
  <c r="L32" i="8"/>
  <c r="K32" i="8"/>
  <c r="O31" i="8"/>
  <c r="N31" i="8"/>
  <c r="M31" i="8"/>
  <c r="L31" i="8"/>
  <c r="K31" i="8"/>
  <c r="O30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M25" i="8"/>
  <c r="L25" i="8"/>
  <c r="K25" i="8"/>
  <c r="O24" i="8"/>
  <c r="N24" i="8"/>
  <c r="M24" i="8"/>
  <c r="L24" i="8"/>
  <c r="K24" i="8"/>
  <c r="O23" i="8"/>
  <c r="N23" i="8"/>
  <c r="M23" i="8"/>
  <c r="L23" i="8"/>
  <c r="K23" i="8"/>
  <c r="O22" i="8"/>
  <c r="N22" i="8"/>
  <c r="M22" i="8"/>
  <c r="L22" i="8"/>
  <c r="K22" i="8"/>
  <c r="O21" i="8"/>
  <c r="N21" i="8"/>
  <c r="M21" i="8"/>
  <c r="L21" i="8"/>
  <c r="K21" i="8"/>
  <c r="O20" i="8"/>
  <c r="N20" i="8"/>
  <c r="M20" i="8"/>
  <c r="L20" i="8"/>
  <c r="K20" i="8"/>
  <c r="O19" i="8"/>
  <c r="N19" i="8"/>
  <c r="M19" i="8"/>
  <c r="L19" i="8"/>
  <c r="K19" i="8"/>
  <c r="O18" i="8"/>
  <c r="N18" i="8"/>
  <c r="M18" i="8"/>
  <c r="L18" i="8"/>
  <c r="K18" i="8"/>
  <c r="O17" i="8"/>
  <c r="N17" i="8"/>
  <c r="M17" i="8"/>
  <c r="L17" i="8"/>
  <c r="K17" i="8"/>
  <c r="O16" i="8"/>
  <c r="N16" i="8"/>
  <c r="M16" i="8"/>
  <c r="L16" i="8"/>
  <c r="K16" i="8"/>
  <c r="O15" i="8"/>
  <c r="N15" i="8"/>
  <c r="M15" i="8"/>
  <c r="L15" i="8"/>
  <c r="K15" i="8"/>
  <c r="O14" i="8"/>
  <c r="N14" i="8"/>
  <c r="M14" i="8"/>
  <c r="L14" i="8"/>
  <c r="K14" i="8"/>
  <c r="O13" i="8"/>
  <c r="N13" i="8"/>
  <c r="M13" i="8"/>
  <c r="L13" i="8"/>
  <c r="K13" i="8"/>
  <c r="O12" i="8"/>
  <c r="N12" i="8"/>
  <c r="M12" i="8"/>
  <c r="L12" i="8"/>
  <c r="K12" i="8"/>
  <c r="O11" i="8"/>
  <c r="N11" i="8"/>
  <c r="M11" i="8"/>
  <c r="L11" i="8"/>
  <c r="K11" i="8"/>
  <c r="O10" i="8"/>
  <c r="N10" i="8"/>
  <c r="M10" i="8"/>
  <c r="L10" i="8"/>
  <c r="K10" i="8"/>
  <c r="O9" i="8"/>
  <c r="N9" i="8"/>
  <c r="M9" i="8"/>
  <c r="L9" i="8"/>
  <c r="K9" i="8"/>
  <c r="O8" i="8"/>
  <c r="N8" i="8"/>
  <c r="M8" i="8"/>
  <c r="L8" i="8"/>
  <c r="K8" i="8"/>
  <c r="O7" i="8"/>
  <c r="N7" i="8"/>
  <c r="M7" i="8"/>
  <c r="L7" i="8"/>
  <c r="K7" i="8"/>
  <c r="O6" i="8"/>
  <c r="N6" i="8"/>
  <c r="M6" i="8"/>
  <c r="L6" i="8"/>
  <c r="K6" i="8"/>
  <c r="O5" i="8"/>
  <c r="N5" i="8"/>
  <c r="M5" i="8"/>
  <c r="L5" i="8"/>
  <c r="K5" i="8"/>
  <c r="O4" i="8"/>
  <c r="N4" i="8"/>
  <c r="M4" i="8"/>
  <c r="L4" i="8"/>
  <c r="K4" i="8"/>
  <c r="O3" i="8"/>
  <c r="N3" i="8"/>
  <c r="M3" i="8"/>
  <c r="L3" i="8"/>
  <c r="K3" i="8"/>
  <c r="O2" i="8"/>
  <c r="N2" i="8"/>
  <c r="M2" i="8"/>
  <c r="L2" i="8"/>
  <c r="K2" i="8"/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O11" i="4"/>
  <c r="N11" i="4" s="1"/>
  <c r="O12" i="4"/>
  <c r="N12" i="4" s="1"/>
  <c r="O13" i="4"/>
  <c r="N13" i="4" s="1"/>
  <c r="O14" i="4"/>
  <c r="O15" i="4"/>
  <c r="N15" i="4" s="1"/>
  <c r="O16" i="4"/>
  <c r="N16" i="4" s="1"/>
  <c r="O17" i="4"/>
  <c r="N17" i="4" s="1"/>
  <c r="O18" i="4"/>
  <c r="N18" i="4" s="1"/>
  <c r="O19" i="4"/>
  <c r="N19" i="4" s="1"/>
  <c r="O20" i="4"/>
  <c r="N20" i="4" s="1"/>
  <c r="O21" i="4"/>
  <c r="N21" i="4" s="1"/>
  <c r="O22" i="4"/>
  <c r="N22" i="4" s="1"/>
  <c r="O23" i="4"/>
  <c r="N23" i="4" s="1"/>
  <c r="O24" i="4"/>
  <c r="N24" i="4" s="1"/>
  <c r="O10" i="4"/>
  <c r="N10" i="4" s="1"/>
  <c r="N14" i="4"/>
</calcChain>
</file>

<file path=xl/sharedStrings.xml><?xml version="1.0" encoding="utf-8"?>
<sst xmlns="http://schemas.openxmlformats.org/spreadsheetml/2006/main" count="2651" uniqueCount="240">
  <si>
    <t>stratum</t>
  </si>
  <si>
    <t>m1_diff_mean</t>
  </si>
  <si>
    <t>m1_diff_std</t>
  </si>
  <si>
    <t>rank</t>
  </si>
  <si>
    <t>hi</t>
  </si>
  <si>
    <t>lo</t>
  </si>
  <si>
    <t>sexo</t>
  </si>
  <si>
    <t>edad_cat3</t>
  </si>
  <si>
    <t>urb_rur</t>
  </si>
  <si>
    <t>clase_2</t>
  </si>
  <si>
    <t>survey2</t>
  </si>
  <si>
    <t>strataN</t>
  </si>
  <si>
    <t>Boys</t>
  </si>
  <si>
    <t>6–9 years</t>
  </si>
  <si>
    <t>Rural</t>
  </si>
  <si>
    <t>Non-Manual Workers</t>
  </si>
  <si>
    <t>Post</t>
  </si>
  <si>
    <t>Pre</t>
  </si>
  <si>
    <t>Semi-urban</t>
  </si>
  <si>
    <t>Urban</t>
  </si>
  <si>
    <t>Manual Workers</t>
  </si>
  <si>
    <t>10–12 years</t>
  </si>
  <si>
    <t>13–15 years</t>
  </si>
  <si>
    <t>Girls</t>
  </si>
  <si>
    <t>Head</t>
  </si>
  <si>
    <t>Tail</t>
  </si>
  <si>
    <t>sedentarismo2</t>
  </si>
  <si>
    <t>m0_prob_total</t>
  </si>
  <si>
    <t>m0_prob_fixed</t>
  </si>
  <si>
    <t>m1_log_fixed</t>
  </si>
  <si>
    <t>m1fit_fixed</t>
  </si>
  <si>
    <t>m1upr_fixed</t>
  </si>
  <si>
    <t>m1lwr_fixed</t>
  </si>
  <si>
    <t>m1fit_total</t>
  </si>
  <si>
    <t>m1upr_total</t>
  </si>
  <si>
    <t>m1lwr_total</t>
  </si>
  <si>
    <t>se_total</t>
  </si>
  <si>
    <t>se_fixed</t>
  </si>
  <si>
    <t>se_diff</t>
  </si>
  <si>
    <t>dif_mean</t>
  </si>
  <si>
    <t>dif_lwr</t>
  </si>
  <si>
    <t>dif_upr</t>
  </si>
  <si>
    <t>rank1</t>
  </si>
  <si>
    <t>rank2</t>
  </si>
  <si>
    <t>Head / No signficant</t>
  </si>
  <si>
    <t>Tail / Two significant</t>
  </si>
  <si>
    <t>No stratum significant</t>
  </si>
  <si>
    <t>Table 1. Descriptive Summary of Study Sample</t>
  </si>
  <si>
    <t>Counts and percentages of variables used to define strata</t>
  </si>
  <si>
    <t>Characteristic</t>
  </si>
  <si>
    <t>Sex</t>
  </si>
  <si>
    <t>    Male</t>
  </si>
  <si>
    <t>10,013 (51%)</t>
  </si>
  <si>
    <t>    Female</t>
  </si>
  <si>
    <t>9,490 (49%)</t>
  </si>
  <si>
    <t>Age Group</t>
  </si>
  <si>
    <t>    6-9</t>
  </si>
  <si>
    <t>7,096 (36%)</t>
  </si>
  <si>
    <t>    10-12</t>
  </si>
  <si>
    <t>6,197 (32%)</t>
  </si>
  <si>
    <t>    13-15</t>
  </si>
  <si>
    <t>6,210 (32%)</t>
  </si>
  <si>
    <t>Municipality Type</t>
  </si>
  <si>
    <t>    Rural</t>
  </si>
  <si>
    <t>4,510 (23%)</t>
  </si>
  <si>
    <t>    Semi-urban</t>
  </si>
  <si>
    <t>5,729 (29%)</t>
  </si>
  <si>
    <t>    Urban</t>
  </si>
  <si>
    <t>9,264 (48%)</t>
  </si>
  <si>
    <t>Occupational Social Class</t>
  </si>
  <si>
    <t>    Non-Manual Workers</t>
  </si>
  <si>
    <t>8,411 (43%)</t>
  </si>
  <si>
    <t>    Manual Workers</t>
  </si>
  <si>
    <t>11,092 (57%)</t>
  </si>
  <si>
    <t>Pre-Post Inequality Inflection Point</t>
  </si>
  <si>
    <t>    Post</t>
  </si>
  <si>
    <t>6,428 (33%)</t>
  </si>
  <si>
    <t>    Pre</t>
  </si>
  <si>
    <t>13,075 (67%)</t>
  </si>
  <si>
    <t>Sedentarism</t>
  </si>
  <si>
    <t>    No</t>
  </si>
  <si>
    <t>16,753 (86%)</t>
  </si>
  <si>
    <t>    Yes</t>
  </si>
  <si>
    <t>2,750 (14%)</t>
  </si>
  <si>
    <r>
      <t>N = 19,503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</si>
  <si>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1</t>
    </r>
    <r>
      <rPr>
        <sz val="11"/>
        <color rgb="FF333333"/>
        <rFont val="Calibri"/>
        <family val="2"/>
        <scheme val="minor"/>
      </rPr>
      <t> n (%)</t>
    </r>
  </si>
  <si>
    <t>model0</t>
  </si>
  <si>
    <t>Predictors</t>
  </si>
  <si>
    <t>Odds Ratios</t>
  </si>
  <si>
    <t>CI</t>
  </si>
  <si>
    <t>p</t>
  </si>
  <si>
    <t>(Intercept)</t>
  </si>
  <si>
    <t>0.12, 0.16</t>
  </si>
  <si>
    <t>&lt;0.001</t>
  </si>
  <si>
    <t>Random Effects</t>
  </si>
  <si>
    <t>ICC</t>
  </si>
  <si>
    <t>Observations</t>
  </si>
  <si>
    <t>0.000 / 0.078</t>
  </si>
  <si>
    <t>VPC =</t>
  </si>
  <si>
    <t>About 7.8% of the total variance in sedentarism is attributable to differences between intersectional strata</t>
  </si>
  <si>
    <r>
      <t>σ</t>
    </r>
    <r>
      <rPr>
        <vertAlign val="superscript"/>
        <sz val="11"/>
        <color theme="1"/>
        <rFont val="Calibri"/>
        <family val="2"/>
        <scheme val="minor"/>
      </rPr>
      <t>2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</si>
  <si>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</si>
  <si>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N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</si>
  <si>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Marginal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/ Conditional R</t>
    </r>
    <r>
      <rPr>
        <vertAlign val="superscript"/>
        <sz val="11"/>
        <color theme="1"/>
        <rFont val="Calibri"/>
        <family val="2"/>
        <scheme val="minor"/>
      </rPr>
      <t>2</t>
    </r>
  </si>
  <si>
    <t>model1</t>
  </si>
  <si>
    <t>0.04, 0.06</t>
  </si>
  <si>
    <t>Sex [Girls]</t>
  </si>
  <si>
    <t>1.69, 2.15</t>
  </si>
  <si>
    <t>Age [10-12]</t>
  </si>
  <si>
    <t>0.91, 1.22</t>
  </si>
  <si>
    <t>Age [13-15]</t>
  </si>
  <si>
    <t>1.42, 1.89</t>
  </si>
  <si>
    <t>Occupational Social Class [Manual Workers]</t>
  </si>
  <si>
    <t>1.43, 1.82</t>
  </si>
  <si>
    <t>Municipality Type [Semi-urban]</t>
  </si>
  <si>
    <t>1.14, 1.57</t>
  </si>
  <si>
    <t>Municipality Type [Urban]</t>
  </si>
  <si>
    <t>1.17, 1.58</t>
  </si>
  <si>
    <t>Pre-Post [Pre: 2003-2011]</t>
  </si>
  <si>
    <t>1.17, 1.49</t>
  </si>
  <si>
    <t>0.067 / 0.074</t>
  </si>
  <si>
    <t xml:space="preserve">72 strata: </t>
  </si>
  <si>
    <t>sex: 1 = boys, 2 = girls</t>
  </si>
  <si>
    <t>age: 1 = 6-9, 2 = 10-12, 3 = 13-15</t>
  </si>
  <si>
    <t>social class: 1 = Non-Manual workers, 2 = Manual workers</t>
  </si>
  <si>
    <t>geographic location: 1 = Rural, 2 = Semi-urban, 3 = Urban</t>
  </si>
  <si>
    <t>Year: 1 = Post (2017 - 2023), 2 = Pre (2003-2011)</t>
  </si>
  <si>
    <t>About 0.79% of the total variance in sedentarism is attributable to differences between intersectional strata</t>
  </si>
  <si>
    <t>Prevalence of sedentarism per strata</t>
  </si>
  <si>
    <t>No</t>
  </si>
  <si>
    <t>Yes</t>
  </si>
  <si>
    <t>PCV (%) =</t>
  </si>
  <si>
    <t>0.12 – 0.16</t>
  </si>
  <si>
    <t>N</t>
  </si>
  <si>
    <t>Null model VPC</t>
  </si>
  <si>
    <t>Additive model VPC</t>
  </si>
  <si>
    <t>PCV</t>
  </si>
  <si>
    <t>AUC null model</t>
  </si>
  <si>
    <t>AUC null model fixed-effects</t>
  </si>
  <si>
    <t>AUC additive model</t>
  </si>
  <si>
    <t>AUC additive model fixed-effects</t>
  </si>
  <si>
    <t>The null model captures most of the predictive information for sedentarism</t>
  </si>
  <si>
    <t>Fixed effect null model as expected, with no stratum info, no discrimination</t>
  </si>
  <si>
    <t>Even if the model explains more variance overall (e.g., via fixed effects), the ability to rank individuals correctly (what AUC measures) can slightly drop.</t>
  </si>
  <si>
    <r>
      <t>0.14 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</si>
  <si>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</si>
  <si>
    <r>
      <t>0.28 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</si>
  <si>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0.03 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</si>
  <si>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72 </t>
    </r>
    <r>
      <rPr>
        <vertAlign val="subscript"/>
        <sz val="11"/>
        <color theme="1"/>
        <rFont val="Calibri"/>
        <family val="2"/>
        <scheme val="minor"/>
      </rPr>
      <t>stratum</t>
    </r>
  </si>
  <si>
    <t>b</t>
  </si>
  <si>
    <t>Sample Size per Stratum</t>
  </si>
  <si>
    <t>500 or more</t>
  </si>
  <si>
    <t>450 or more</t>
  </si>
  <si>
    <t>400 or more</t>
  </si>
  <si>
    <t>350 or more</t>
  </si>
  <si>
    <t>300 or more</t>
  </si>
  <si>
    <t>250 or more</t>
  </si>
  <si>
    <t>200 or more</t>
  </si>
  <si>
    <t>175 or more</t>
  </si>
  <si>
    <t>150 or more</t>
  </si>
  <si>
    <t>100 or more</t>
  </si>
  <si>
    <t>90 or more</t>
  </si>
  <si>
    <t>80 or more</t>
  </si>
  <si>
    <t>70 or more</t>
  </si>
  <si>
    <t>60 or more</t>
  </si>
  <si>
    <t>Number of Strata</t>
  </si>
  <si>
    <t>550 or more</t>
  </si>
  <si>
    <t>sedentarismo3</t>
  </si>
  <si>
    <t>m1_diff_lo</t>
  </si>
  <si>
    <t>m1_diff_hi</t>
  </si>
  <si>
    <t>m1_diff</t>
  </si>
  <si>
    <t>m1_diff_rank</t>
  </si>
  <si>
    <t>edad</t>
  </si>
  <si>
    <t>clase</t>
  </si>
  <si>
    <t>sedentarismo %</t>
  </si>
  <si>
    <t>Table 1. Descriptive Summary of Study Sample by Sedentarism</t>
  </si>
  <si>
    <t>Overall</t>
  </si>
  <si>
    <t>Pre-Post</t>
  </si>
  <si>
    <r>
      <t>N = 16,753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</si>
  <si>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N = 2,750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</si>
  <si>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t>10,013 (51.3%)</t>
  </si>
  <si>
    <t>8,983 (53.6%)</t>
  </si>
  <si>
    <t>1,030 (37.5%)</t>
  </si>
  <si>
    <t>9,490 (48.7%)</t>
  </si>
  <si>
    <t>7,770 (46.4%)</t>
  </si>
  <si>
    <t>1,720 (62.5%)</t>
  </si>
  <si>
    <t>7,096 (36.4%)</t>
  </si>
  <si>
    <t>6,251 (37.3%)</t>
  </si>
  <si>
    <t>845 (30.7%)</t>
  </si>
  <si>
    <t>6,197 (31.8%)</t>
  </si>
  <si>
    <t>5,431 (32.4%)</t>
  </si>
  <si>
    <t>766 (27.9%)</t>
  </si>
  <si>
    <t>6,210 (31.8%)</t>
  </si>
  <si>
    <t>5,071 (30.3%)</t>
  </si>
  <si>
    <t>1,139 (41.4%)</t>
  </si>
  <si>
    <t>4,510 (23.1%)</t>
  </si>
  <si>
    <t>3,973 (23.7%)</t>
  </si>
  <si>
    <t>537 (19.5%)</t>
  </si>
  <si>
    <t>5,729 (29.4%)</t>
  </si>
  <si>
    <t>4,874 (29.1%)</t>
  </si>
  <si>
    <t>855 (31.1%)</t>
  </si>
  <si>
    <t>9,264 (47.5%)</t>
  </si>
  <si>
    <t>7,906 (47.2%)</t>
  </si>
  <si>
    <t>1,358 (49.4%)</t>
  </si>
  <si>
    <t>8,411 (43.1%)</t>
  </si>
  <si>
    <t>7,472 (44.6%)</t>
  </si>
  <si>
    <t>939 (34.1%)</t>
  </si>
  <si>
    <t>11,092 (56.9%)</t>
  </si>
  <si>
    <t>9,281 (55.4%)</t>
  </si>
  <si>
    <t>1,811 (65.9%)</t>
  </si>
  <si>
    <t>6,428 (33.0%)</t>
  </si>
  <si>
    <t>5,640 (33.7%)</t>
  </si>
  <si>
    <t>788 (28.7%)</t>
  </si>
  <si>
    <t>13,075 (67.0%)</t>
  </si>
  <si>
    <t>11,113 (66.3%)</t>
  </si>
  <si>
    <t>1,962 (71.3%)</t>
  </si>
  <si>
    <t>sedentarism</t>
  </si>
  <si>
    <t>sedentarism prevalence</t>
  </si>
  <si>
    <t>count per strata</t>
  </si>
  <si>
    <t>total probability of model 0</t>
  </si>
  <si>
    <t>fixed probability of model 0</t>
  </si>
  <si>
    <t>fixed effect of model 1 probability scale</t>
  </si>
  <si>
    <t>fixed effect of model 1 log scale</t>
  </si>
  <si>
    <t>upper CI of fixed effect of model 1 probability scale</t>
  </si>
  <si>
    <t>lower CI of fixed effect of model 1 probability scale</t>
  </si>
  <si>
    <t>total effect (fixed + random) of model 1 probability scale</t>
  </si>
  <si>
    <t>upper CI of total effect (fixed + random) of model 1 probability scale</t>
  </si>
  <si>
    <t>lower CI of total effect (fixed + random) of model 1 probability scale</t>
  </si>
  <si>
    <t>standard error of fixed effect of model 1</t>
  </si>
  <si>
    <t>residual</t>
  </si>
  <si>
    <t>standard error of total effect (fixed + random) of model 1</t>
  </si>
  <si>
    <t>difference between total effect minus fixed effect of model 1 probability scale</t>
  </si>
  <si>
    <t>residual_lwr</t>
  </si>
  <si>
    <t>lower CI of difference between total effect minus effect of model 1 probability scale</t>
  </si>
  <si>
    <t>residual_upr</t>
  </si>
  <si>
    <t>upper CI of difference between total effect minus effect of model 1 probability scale</t>
  </si>
  <si>
    <t>rank_probabilities</t>
  </si>
  <si>
    <t>ranking variable of order of lowest to highest predicted probabilities</t>
  </si>
  <si>
    <t>rank_residuals</t>
  </si>
  <si>
    <t>ranking variable of order of lowest to highest residual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</si>
</sst>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"/>
    <numFmt numFmtId="168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vertAlign val="superscript"/>
      <sz val="11"/>
      <color rgb="FF333333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A8A8A8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2" fontId="0" fillId="0" borderId="0" xfId="0" applyNumberFormat="1" applyAlignment="1">
      <alignment horizontal="left"/>
    </xf>
    <xf numFmtId="168" fontId="0" fillId="3" borderId="0" xfId="1" applyNumberFormat="1" applyFont="1" applyFill="1"/>
    <xf numFmtId="0" fontId="0" fillId="0" borderId="0" xfId="0" applyFill="1"/>
    <xf numFmtId="168" fontId="0" fillId="0" borderId="0" xfId="1" applyNumberFormat="1" applyFont="1" applyFill="1"/>
    <xf numFmtId="2" fontId="0" fillId="0" borderId="0" xfId="0" applyNumberFormat="1" applyFill="1"/>
    <xf numFmtId="0" fontId="0" fillId="5" borderId="0" xfId="0" applyFill="1"/>
    <xf numFmtId="168" fontId="0" fillId="5" borderId="0" xfId="1" applyNumberFormat="1" applyFont="1" applyFill="1"/>
    <xf numFmtId="2" fontId="0" fillId="5" borderId="0" xfId="0" applyNumberFormat="1" applyFill="1"/>
    <xf numFmtId="0" fontId="0" fillId="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ont="1"/>
    <xf numFmtId="165" fontId="0" fillId="0" borderId="0" xfId="0" applyNumberFormat="1" applyFont="1"/>
  </cellXfs>
  <cellStyles count="2">
    <cellStyle name="Normal" xfId="0" builtinId="0"/>
    <cellStyle name="Porcentaje" xfId="1" builtinId="5"/>
  </cellStyles>
  <dxfs count="31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CCCC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000"/>
      <fill>
        <patternFill patternType="none">
          <fgColor indexed="64"/>
          <bgColor auto="1"/>
        </patternFill>
      </fill>
    </dxf>
    <dxf>
      <numFmt numFmtId="168" formatCode="0.0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CCC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D9664C-0FC4-405A-A364-A965AF3A1443}" name="Table3" displayName="Table3" ref="A1:Y73" totalsRowShown="0">
  <autoFilter ref="A1:Y73" xr:uid="{21D9664C-0FC4-405A-A364-A965AF3A1443}"/>
  <sortState xmlns:xlrd2="http://schemas.microsoft.com/office/spreadsheetml/2017/richdata2" ref="A2:Y73">
    <sortCondition ref="Y1:Y73"/>
  </sortState>
  <tableColumns count="25">
    <tableColumn id="1" xr3:uid="{5993C1AB-6A83-44AC-8485-DF56E4419BB0}" name="stratum"/>
    <tableColumn id="2" xr3:uid="{7ADCA98E-7C05-4B3B-BC1A-8A85693DC7EC}" name="strataN"/>
    <tableColumn id="3" xr3:uid="{9AF33A9C-8FDD-4FC1-AE9A-6661B349116F}" name="sexo"/>
    <tableColumn id="4" xr3:uid="{CD5C88B4-3808-41E8-A7C6-FF2C9FAF8A32}" name="edad_cat3"/>
    <tableColumn id="6" xr3:uid="{78817A65-2449-48DD-839E-601675882E69}" name="clase_2" dataDxfId="30"/>
    <tableColumn id="5" xr3:uid="{9DAD0F1A-F3F6-44A3-B51F-5A354204DC9D}" name="urb_rur"/>
    <tableColumn id="7" xr3:uid="{D3F4A0C7-1C81-4C71-89B6-BD2D16036EEB}" name="survey2"/>
    <tableColumn id="8" xr3:uid="{D3999EC7-8E08-4D99-B740-82D6BEFF4325}" name="sedentarismo2"/>
    <tableColumn id="25" xr3:uid="{D24E67DF-6897-48FC-9865-6FF9A8E85265}" name="sedentarismo3" dataDxfId="29">
      <calculatedColumnFormula>Table3[[#This Row],[sedentarismo2]]*100</calculatedColumnFormula>
    </tableColumn>
    <tableColumn id="9" xr3:uid="{E1D21D91-DCFD-48C5-864D-CF96A73456D4}" name="m0_prob_total"/>
    <tableColumn id="10" xr3:uid="{F4E884BB-31EF-4B35-AE63-6C94E874CB72}" name="m0_prob_fixed"/>
    <tableColumn id="11" xr3:uid="{3858340B-2F8D-4AAD-944B-DE6D969CFF7E}" name="m1_log_fixed"/>
    <tableColumn id="12" xr3:uid="{D5C15FB5-37C2-41D7-8160-B9D083AF964B}" name="m1fit_fixed"/>
    <tableColumn id="13" xr3:uid="{14A66936-1DEC-450B-B497-9444AECD70FB}" name="m1upr_fixed"/>
    <tableColumn id="14" xr3:uid="{50BFCDC3-6099-4F99-9A76-75DF7B4FB1A3}" name="m1lwr_fixed"/>
    <tableColumn id="15" xr3:uid="{C2E3473C-9D24-46B8-8905-23494831E784}" name="m1fit_total" dataDxfId="28"/>
    <tableColumn id="17" xr3:uid="{6399EEB5-7946-4AB9-AD9F-78570C2DF974}" name="m1lwr_total" dataDxfId="27"/>
    <tableColumn id="16" xr3:uid="{6A3714D1-62BF-4525-AB2F-3A644421021F}" name="m1upr_total" dataDxfId="26"/>
    <tableColumn id="18" xr3:uid="{70EE4036-E7FB-4F16-9FB9-B2F45AAED60A}" name="se_total"/>
    <tableColumn id="19" xr3:uid="{66F1F112-5D13-422E-952E-C9FAB9D6098A}" name="se_fixed"/>
    <tableColumn id="20" xr3:uid="{1A7C1E61-677A-48E2-B79F-673A6C0D031F}" name="se_diff"/>
    <tableColumn id="21" xr3:uid="{91790B3A-A1A2-4910-82D6-5762393712CD}" name="dif_mean"/>
    <tableColumn id="22" xr3:uid="{7134A5E8-1E3B-48BD-99F7-73EAEA45044D}" name="dif_lwr"/>
    <tableColumn id="23" xr3:uid="{F5BA8E1B-80D0-4F3E-B0C7-9642382543C2}" name="dif_upr"/>
    <tableColumn id="24" xr3:uid="{4EA62FEF-CDAB-4FB1-B449-069135E3CAAE}" name="rank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86B90-7051-4A09-B51C-9AE69D90C35D}" name="Table1" displayName="Table1" ref="A1:L73" totalsRowShown="0">
  <autoFilter ref="A1:L73" xr:uid="{51386B90-7051-4A09-B51C-9AE69D90C35D}"/>
  <sortState xmlns:xlrd2="http://schemas.microsoft.com/office/spreadsheetml/2017/richdata2" ref="A2:L73">
    <sortCondition ref="J1:J73"/>
  </sortState>
  <tableColumns count="12">
    <tableColumn id="1" xr3:uid="{1312DF2E-93D0-44E2-9809-5D05B78A03CE}" name="stratum"/>
    <tableColumn id="2" xr3:uid="{3043C8F2-17A6-4F3B-9358-0AAA2E294742}" name="strataN"/>
    <tableColumn id="3" xr3:uid="{67F8AD6D-25D7-4DC8-B89A-DE1A789DC486}" name="sexo"/>
    <tableColumn id="4" xr3:uid="{BF5BB261-B3A4-4684-8A8D-B3B1F6405973}" name="edad_cat3"/>
    <tableColumn id="5" xr3:uid="{F656AA7D-1421-485D-B64B-E0A7312E13FE}" name="urb_rur"/>
    <tableColumn id="6" xr3:uid="{673B00AC-C26B-4E9E-8C4D-02EC9A61B282}" name="clase_2"/>
    <tableColumn id="7" xr3:uid="{D5193141-2D9B-4998-A47B-7F55B4832A17}" name="survey2"/>
    <tableColumn id="8" xr3:uid="{31B419C5-D4B1-4238-8D19-AB98556BF752}" name="m1_diff_mean"/>
    <tableColumn id="9" xr3:uid="{7C60005A-3C71-4111-A19F-D51D80ECDB3A}" name="m1_diff_std"/>
    <tableColumn id="10" xr3:uid="{407F4EB3-797C-4CB6-A2B3-470BB8EB29B3}" name="rank"/>
    <tableColumn id="11" xr3:uid="{7603B706-2C64-4483-8458-451C16F08667}" name="hi"/>
    <tableColumn id="12" xr3:uid="{23DE5888-1089-445E-98D2-2E6559C22470}" name="l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6A610-7D95-4A65-AE5F-8D24CE572230}" name="Table2" displayName="Table2" ref="A1:X73" totalsRowShown="0">
  <autoFilter ref="A1:X73" xr:uid="{5906A610-7D95-4A65-AE5F-8D24CE572230}"/>
  <sortState xmlns:xlrd2="http://schemas.microsoft.com/office/spreadsheetml/2017/richdata2" ref="A2:X73">
    <sortCondition ref="X1:X73"/>
  </sortState>
  <tableColumns count="24">
    <tableColumn id="1" xr3:uid="{5D6A94FC-10BC-42AE-BF52-D902AA96E168}" name="stratum"/>
    <tableColumn id="2" xr3:uid="{E187D7D4-B174-408B-85A4-F333F1876959}" name="strataN"/>
    <tableColumn id="3" xr3:uid="{CF14ACDC-DBF7-4763-A29E-297BABE1C622}" name="sexo"/>
    <tableColumn id="4" xr3:uid="{A0317081-B63D-40CD-9BD4-CC7F32EA153E}" name="edad_cat3"/>
    <tableColumn id="5" xr3:uid="{695DEE0D-8A17-4FD3-9675-6CA2120207DA}" name="urb_rur"/>
    <tableColumn id="6" xr3:uid="{B1EC21AF-D453-4021-99ED-F914FF00DCAB}" name="clase_2"/>
    <tableColumn id="7" xr3:uid="{A3289389-2C7A-4BA7-A7A1-E312067D6446}" name="survey2"/>
    <tableColumn id="8" xr3:uid="{FB293B58-ED46-4D24-8C76-C4E06EDCABF5}" name="sedentarismo2"/>
    <tableColumn id="9" xr3:uid="{40FD0268-B5B1-4E0F-B1D2-C1C76DD34423}" name="m0_prob_total"/>
    <tableColumn id="10" xr3:uid="{B2A346E1-CFE7-4FC6-8AA2-371ED1BBD555}" name="m0_prob_fixed"/>
    <tableColumn id="11" xr3:uid="{F23B8F61-B827-4C3A-81CC-4F990F0ED3A8}" name="m1_log_fixed"/>
    <tableColumn id="12" xr3:uid="{C55ACDD1-F4C0-47DD-95B2-0A67AD68F073}" name="m1fit_fixed"/>
    <tableColumn id="13" xr3:uid="{D626B794-F988-4FF6-8539-79C995DAF950}" name="m1upr_fixed"/>
    <tableColumn id="14" xr3:uid="{ADA2C3D3-901B-4B47-8C5E-50556B6BA55C}" name="m1lwr_fixed"/>
    <tableColumn id="15" xr3:uid="{A9B40D67-DE4F-44C5-BA30-D67B080161E1}" name="m1fit_total"/>
    <tableColumn id="16" xr3:uid="{EF835F20-C4DA-4118-B751-691A53752E03}" name="m1upr_total"/>
    <tableColumn id="17" xr3:uid="{DD299433-9FED-4696-A1DC-011B101D9739}" name="m1lwr_total"/>
    <tableColumn id="18" xr3:uid="{BD486ED9-41D4-40FF-B393-5FC73BF6DB4E}" name="se_total"/>
    <tableColumn id="19" xr3:uid="{1D667657-528A-414B-9689-6807634B35E4}" name="se_fixed"/>
    <tableColumn id="20" xr3:uid="{A742851B-6E6F-4853-B053-F2155D1B3913}" name="se_diff"/>
    <tableColumn id="21" xr3:uid="{5EC11148-ADE2-4399-8629-4FBE8F374EE8}" name="dif_mean"/>
    <tableColumn id="22" xr3:uid="{F9D33F01-F83B-4853-B497-47CE2A40B9D0}" name="dif_lwr"/>
    <tableColumn id="23" xr3:uid="{8671AB6F-67CA-4ADB-AB23-34C2B76B9730}" name="dif_upr"/>
    <tableColumn id="24" xr3:uid="{2B0F65E9-ED05-4849-9522-C0849AD96769}" name="rank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7A3A5-C853-4F50-9118-907DDAD26BA0}" name="Tabla4" displayName="Tabla4" ref="A1:Y1048576" totalsRowShown="0" dataDxfId="19">
  <autoFilter ref="A1:Y1048576" xr:uid="{8167A3A5-C853-4F50-9118-907DDAD26BA0}"/>
  <sortState xmlns:xlrd2="http://schemas.microsoft.com/office/spreadsheetml/2017/richdata2" ref="A2:Y73">
    <sortCondition ref="Y1:Y73"/>
  </sortState>
  <tableColumns count="25">
    <tableColumn id="1" xr3:uid="{84E2187E-0C34-4EB3-AE6D-39B7F07D8BA0}" name="stratum" dataDxfId="2"/>
    <tableColumn id="3" xr3:uid="{533258F0-37A0-42DA-AF9F-DB643958B45C}" name="strataN" dataDxfId="0"/>
    <tableColumn id="24" xr3:uid="{A2AC76BA-B4F0-46CC-B8BF-3D22C65E0BAF}" name="sexo" dataDxfId="1"/>
    <tableColumn id="23" xr3:uid="{4D49DC6E-1E08-4B62-83A3-6DDD20C52A31}" name="edad" dataDxfId="18"/>
    <tableColumn id="22" xr3:uid="{E33408D3-56E0-4449-BD47-F9A4FDE62D7F}" name="clase" dataDxfId="17"/>
    <tableColumn id="21" xr3:uid="{E6BF5CF0-0F00-4DEF-BF1D-4C2B5B2B66CD}" name="urb_rur" dataDxfId="16"/>
    <tableColumn id="20" xr3:uid="{4F8F7460-34E6-4432-A106-7FA52F006673}" name="survey2" dataDxfId="15"/>
    <tableColumn id="2" xr3:uid="{45C76683-A822-46B2-8215-BBE894921106}" name="sedentarismo2" dataDxfId="14" dataCellStyle="Porcentaje"/>
    <tableColumn id="25" xr3:uid="{11C06F38-4423-443B-9907-9C19C29DC699}" name="sedentarismo %" dataDxfId="13" dataCellStyle="Porcentaje"/>
    <tableColumn id="4" xr3:uid="{FBAFE5FB-A330-4C7E-B4A9-07EFC55103FA}" name="m0_prob_total" dataDxfId="12"/>
    <tableColumn id="5" xr3:uid="{C5683313-8574-499C-9515-FE076D4C5278}" name="m0_prob_fixed" dataDxfId="11"/>
    <tableColumn id="6" xr3:uid="{5EEAE76F-C038-4148-BFF8-A54B12C09203}" name="m1_log_fixed" dataDxfId="10"/>
    <tableColumn id="7" xr3:uid="{B4ABA8F8-8B06-48B9-8F62-9BE24CD57584}" name="m1fit_fixed" dataDxfId="9"/>
    <tableColumn id="8" xr3:uid="{1833A94B-CA54-4838-A026-53D12122D5A5}" name="m1upr_fixed" dataDxfId="8"/>
    <tableColumn id="9" xr3:uid="{01EA1202-CBC9-4F3E-A677-7493325BC6E4}" name="m1lwr_fixed" dataDxfId="7"/>
    <tableColumn id="10" xr3:uid="{3A41DD0A-5E41-48D4-909B-7A0839DFB37C}" name="m1fit_total" dataDxfId="6"/>
    <tableColumn id="12" xr3:uid="{889F53AC-7B90-4D43-AD2E-71B92BA989F0}" name="m1lwr_total" dataDxfId="5"/>
    <tableColumn id="11" xr3:uid="{32932975-C19D-46F1-AEDE-10A2971C8AD0}" name="m1upr_total" dataDxfId="3"/>
    <tableColumn id="13" xr3:uid="{C80D3DA4-5636-49F1-85D5-595B1D199DC8}" name="se_total" dataDxfId="4"/>
    <tableColumn id="14" xr3:uid="{8DAD9460-25EB-4B1E-85A3-188DD3FD74A4}" name="se_fixed" dataDxfId="25"/>
    <tableColumn id="15" xr3:uid="{149E676F-CF1D-4493-A60E-F524A3DACA5B}" name="se_diff" dataDxfId="24"/>
    <tableColumn id="16" xr3:uid="{75C6AE6E-88A3-4E4B-B127-AFEA596990C6}" name="dif_mean" dataDxfId="23"/>
    <tableColumn id="17" xr3:uid="{D6F1BA41-1286-4E4D-8437-F4F0E210A37C}" name="dif_lwr" dataDxfId="22"/>
    <tableColumn id="18" xr3:uid="{15EF5876-3DF5-4EEC-A01B-5E432F9DBC32}" name="dif_upr" dataDxfId="21"/>
    <tableColumn id="19" xr3:uid="{F0C6D821-8C67-4F6B-BFC4-D47E8F5E8E4B}" name="rank1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3F8C-7541-4087-8756-547165D1DA7B}">
  <dimension ref="A1:O31"/>
  <sheetViews>
    <sheetView workbookViewId="0">
      <selection activeCell="L11" sqref="L11"/>
    </sheetView>
  </sheetViews>
  <sheetFormatPr baseColWidth="10" defaultColWidth="8.88671875" defaultRowHeight="14.4" x14ac:dyDescent="0.3"/>
  <cols>
    <col min="1" max="1" width="31.6640625" style="64" customWidth="1"/>
    <col min="2" max="2" width="11.6640625" style="64" bestFit="1" customWidth="1"/>
    <col min="3" max="3" width="8.88671875" style="64"/>
    <col min="4" max="4" width="14.44140625" style="64" bestFit="1" customWidth="1"/>
    <col min="5" max="5" width="8.21875" style="64" bestFit="1" customWidth="1"/>
    <col min="6" max="16384" width="8.88671875" style="64"/>
  </cols>
  <sheetData>
    <row r="1" spans="1:15" ht="38.4" customHeight="1" x14ac:dyDescent="0.3">
      <c r="A1" s="33" t="s">
        <v>47</v>
      </c>
      <c r="B1" s="33"/>
      <c r="D1" s="56" t="s">
        <v>175</v>
      </c>
      <c r="E1" s="56"/>
      <c r="F1" s="56"/>
      <c r="G1" s="56"/>
      <c r="K1" s="64" t="s">
        <v>121</v>
      </c>
    </row>
    <row r="2" spans="1:15" x14ac:dyDescent="0.3">
      <c r="A2" s="34" t="s">
        <v>48</v>
      </c>
      <c r="B2" s="34"/>
      <c r="D2" s="56" t="s">
        <v>48</v>
      </c>
      <c r="E2" s="56"/>
      <c r="F2" s="56"/>
      <c r="G2" s="56"/>
      <c r="K2" s="64">
        <v>1</v>
      </c>
      <c r="L2" s="64" t="s">
        <v>122</v>
      </c>
    </row>
    <row r="3" spans="1:15" ht="16.2" x14ac:dyDescent="0.3">
      <c r="A3" s="4" t="s">
        <v>49</v>
      </c>
      <c r="B3" s="5" t="s">
        <v>84</v>
      </c>
      <c r="D3" s="57" t="s">
        <v>49</v>
      </c>
      <c r="E3" s="58" t="s">
        <v>176</v>
      </c>
      <c r="F3" s="58" t="s">
        <v>129</v>
      </c>
      <c r="G3" s="58" t="s">
        <v>130</v>
      </c>
      <c r="K3" s="64">
        <v>2</v>
      </c>
      <c r="L3" s="64" t="s">
        <v>123</v>
      </c>
    </row>
    <row r="4" spans="1:15" ht="30.6" x14ac:dyDescent="0.3">
      <c r="A4" s="6" t="s">
        <v>50</v>
      </c>
      <c r="B4" s="3"/>
      <c r="D4" s="57"/>
      <c r="E4" s="59" t="s">
        <v>84</v>
      </c>
      <c r="F4" s="59" t="s">
        <v>178</v>
      </c>
      <c r="G4" s="59" t="s">
        <v>179</v>
      </c>
      <c r="K4" s="64">
        <v>3</v>
      </c>
      <c r="L4" s="64" t="s">
        <v>124</v>
      </c>
    </row>
    <row r="5" spans="1:15" x14ac:dyDescent="0.3">
      <c r="A5" s="7" t="s">
        <v>51</v>
      </c>
      <c r="B5" s="3" t="s">
        <v>52</v>
      </c>
      <c r="D5" s="60" t="s">
        <v>50</v>
      </c>
      <c r="E5" s="61"/>
      <c r="F5" s="61"/>
      <c r="G5" s="61"/>
      <c r="K5" s="64">
        <v>4</v>
      </c>
      <c r="L5" s="64" t="s">
        <v>125</v>
      </c>
    </row>
    <row r="6" spans="1:15" ht="28.8" x14ac:dyDescent="0.3">
      <c r="A6" s="7" t="s">
        <v>53</v>
      </c>
      <c r="B6" s="3" t="s">
        <v>54</v>
      </c>
      <c r="D6" s="62" t="s">
        <v>51</v>
      </c>
      <c r="E6" s="61" t="s">
        <v>180</v>
      </c>
      <c r="F6" s="61" t="s">
        <v>181</v>
      </c>
      <c r="G6" s="61" t="s">
        <v>182</v>
      </c>
      <c r="K6" s="64">
        <v>5</v>
      </c>
      <c r="L6" s="64" t="s">
        <v>126</v>
      </c>
    </row>
    <row r="7" spans="1:15" ht="28.8" x14ac:dyDescent="0.3">
      <c r="A7" s="6" t="s">
        <v>55</v>
      </c>
      <c r="B7" s="3"/>
      <c r="D7" s="62" t="s">
        <v>53</v>
      </c>
      <c r="E7" s="61" t="s">
        <v>183</v>
      </c>
      <c r="F7" s="61" t="s">
        <v>184</v>
      </c>
      <c r="G7" s="61" t="s">
        <v>185</v>
      </c>
    </row>
    <row r="8" spans="1:15" x14ac:dyDescent="0.3">
      <c r="A8" s="7" t="s">
        <v>56</v>
      </c>
      <c r="B8" s="3" t="s">
        <v>57</v>
      </c>
      <c r="D8" s="60" t="s">
        <v>55</v>
      </c>
      <c r="E8" s="61"/>
      <c r="F8" s="61"/>
      <c r="G8" s="61"/>
    </row>
    <row r="9" spans="1:15" ht="28.8" x14ac:dyDescent="0.3">
      <c r="A9" s="7" t="s">
        <v>58</v>
      </c>
      <c r="B9" s="3" t="s">
        <v>59</v>
      </c>
      <c r="D9" s="62" t="s">
        <v>56</v>
      </c>
      <c r="E9" s="61" t="s">
        <v>186</v>
      </c>
      <c r="F9" s="61" t="s">
        <v>187</v>
      </c>
      <c r="G9" s="61" t="s">
        <v>188</v>
      </c>
      <c r="K9" s="64" t="s">
        <v>150</v>
      </c>
      <c r="M9" s="64" t="s">
        <v>165</v>
      </c>
    </row>
    <row r="10" spans="1:15" ht="28.8" x14ac:dyDescent="0.3">
      <c r="A10" s="7" t="s">
        <v>60</v>
      </c>
      <c r="B10" s="3" t="s">
        <v>61</v>
      </c>
      <c r="D10" s="62" t="s">
        <v>58</v>
      </c>
      <c r="E10" s="61" t="s">
        <v>189</v>
      </c>
      <c r="F10" s="61" t="s">
        <v>190</v>
      </c>
      <c r="G10" s="61" t="s">
        <v>191</v>
      </c>
      <c r="K10" s="64" t="s">
        <v>166</v>
      </c>
      <c r="M10" s="64">
        <v>1</v>
      </c>
      <c r="N10" s="65">
        <f t="shared" ref="N10:N24" si="0">O10*100</f>
        <v>1.3888888888888888</v>
      </c>
      <c r="O10" s="64">
        <f t="shared" ref="O10:O24" si="1">M10/72</f>
        <v>1.3888888888888888E-2</v>
      </c>
    </row>
    <row r="11" spans="1:15" ht="28.8" x14ac:dyDescent="0.3">
      <c r="A11" s="6" t="s">
        <v>62</v>
      </c>
      <c r="B11" s="3"/>
      <c r="D11" s="62" t="s">
        <v>60</v>
      </c>
      <c r="E11" s="61" t="s">
        <v>192</v>
      </c>
      <c r="F11" s="61" t="s">
        <v>193</v>
      </c>
      <c r="G11" s="61" t="s">
        <v>194</v>
      </c>
      <c r="K11" s="64" t="s">
        <v>151</v>
      </c>
      <c r="M11" s="64">
        <v>7</v>
      </c>
      <c r="N11" s="65">
        <f t="shared" si="0"/>
        <v>9.7222222222222232</v>
      </c>
      <c r="O11" s="64">
        <f t="shared" si="1"/>
        <v>9.7222222222222224E-2</v>
      </c>
    </row>
    <row r="12" spans="1:15" ht="28.8" x14ac:dyDescent="0.3">
      <c r="A12" s="7" t="s">
        <v>63</v>
      </c>
      <c r="B12" s="3" t="s">
        <v>64</v>
      </c>
      <c r="D12" s="60" t="s">
        <v>62</v>
      </c>
      <c r="E12" s="61"/>
      <c r="F12" s="61"/>
      <c r="G12" s="61"/>
      <c r="K12" s="64" t="s">
        <v>152</v>
      </c>
      <c r="M12" s="64">
        <v>11</v>
      </c>
      <c r="N12" s="65">
        <f t="shared" si="0"/>
        <v>15.277777777777779</v>
      </c>
      <c r="O12" s="64">
        <f t="shared" si="1"/>
        <v>0.15277777777777779</v>
      </c>
    </row>
    <row r="13" spans="1:15" ht="28.8" x14ac:dyDescent="0.3">
      <c r="A13" s="7" t="s">
        <v>65</v>
      </c>
      <c r="B13" s="3" t="s">
        <v>66</v>
      </c>
      <c r="D13" s="62" t="s">
        <v>63</v>
      </c>
      <c r="E13" s="61" t="s">
        <v>195</v>
      </c>
      <c r="F13" s="61" t="s">
        <v>196</v>
      </c>
      <c r="G13" s="61" t="s">
        <v>197</v>
      </c>
      <c r="K13" s="64" t="s">
        <v>153</v>
      </c>
      <c r="M13" s="64">
        <v>13</v>
      </c>
      <c r="N13" s="65">
        <f t="shared" si="0"/>
        <v>18.055555555555554</v>
      </c>
      <c r="O13" s="64">
        <f t="shared" si="1"/>
        <v>0.18055555555555555</v>
      </c>
    </row>
    <row r="14" spans="1:15" ht="28.8" x14ac:dyDescent="0.3">
      <c r="A14" s="7" t="s">
        <v>67</v>
      </c>
      <c r="B14" s="3" t="s">
        <v>68</v>
      </c>
      <c r="D14" s="62" t="s">
        <v>65</v>
      </c>
      <c r="E14" s="61" t="s">
        <v>198</v>
      </c>
      <c r="F14" s="61" t="s">
        <v>199</v>
      </c>
      <c r="G14" s="61" t="s">
        <v>200</v>
      </c>
      <c r="K14" s="64" t="s">
        <v>154</v>
      </c>
      <c r="M14" s="64">
        <v>18</v>
      </c>
      <c r="N14" s="65">
        <f t="shared" si="0"/>
        <v>25</v>
      </c>
      <c r="O14" s="64">
        <f t="shared" si="1"/>
        <v>0.25</v>
      </c>
    </row>
    <row r="15" spans="1:15" ht="28.8" x14ac:dyDescent="0.3">
      <c r="A15" s="6" t="s">
        <v>69</v>
      </c>
      <c r="B15" s="3"/>
      <c r="D15" s="62" t="s">
        <v>67</v>
      </c>
      <c r="E15" s="61" t="s">
        <v>201</v>
      </c>
      <c r="F15" s="61" t="s">
        <v>202</v>
      </c>
      <c r="G15" s="61" t="s">
        <v>203</v>
      </c>
      <c r="K15" s="64" t="s">
        <v>155</v>
      </c>
      <c r="M15" s="64">
        <v>27</v>
      </c>
      <c r="N15" s="65">
        <f t="shared" si="0"/>
        <v>37.5</v>
      </c>
      <c r="O15" s="64">
        <f t="shared" si="1"/>
        <v>0.375</v>
      </c>
    </row>
    <row r="16" spans="1:15" ht="28.8" x14ac:dyDescent="0.3">
      <c r="A16" s="7" t="s">
        <v>70</v>
      </c>
      <c r="B16" s="3" t="s">
        <v>71</v>
      </c>
      <c r="D16" s="60" t="s">
        <v>69</v>
      </c>
      <c r="E16" s="61"/>
      <c r="F16" s="61"/>
      <c r="G16" s="61"/>
      <c r="K16" s="64" t="s">
        <v>156</v>
      </c>
      <c r="M16" s="64">
        <v>35</v>
      </c>
      <c r="N16" s="65">
        <f t="shared" si="0"/>
        <v>48.611111111111107</v>
      </c>
      <c r="O16" s="64">
        <f t="shared" si="1"/>
        <v>0.4861111111111111</v>
      </c>
    </row>
    <row r="17" spans="1:15" ht="28.8" x14ac:dyDescent="0.3">
      <c r="A17" s="7" t="s">
        <v>72</v>
      </c>
      <c r="B17" s="3" t="s">
        <v>73</v>
      </c>
      <c r="D17" s="62" t="s">
        <v>70</v>
      </c>
      <c r="E17" s="61" t="s">
        <v>204</v>
      </c>
      <c r="F17" s="61" t="s">
        <v>205</v>
      </c>
      <c r="G17" s="61" t="s">
        <v>206</v>
      </c>
      <c r="K17" s="64" t="s">
        <v>157</v>
      </c>
      <c r="M17" s="64">
        <v>48</v>
      </c>
      <c r="N17" s="65">
        <f t="shared" si="0"/>
        <v>66.666666666666657</v>
      </c>
      <c r="O17" s="64">
        <f t="shared" si="1"/>
        <v>0.66666666666666663</v>
      </c>
    </row>
    <row r="18" spans="1:15" ht="28.8" x14ac:dyDescent="0.3">
      <c r="A18" s="6" t="s">
        <v>74</v>
      </c>
      <c r="B18" s="3"/>
      <c r="D18" s="62" t="s">
        <v>72</v>
      </c>
      <c r="E18" s="61" t="s">
        <v>207</v>
      </c>
      <c r="F18" s="61" t="s">
        <v>208</v>
      </c>
      <c r="G18" s="61" t="s">
        <v>209</v>
      </c>
      <c r="K18" s="64" t="s">
        <v>158</v>
      </c>
      <c r="M18" s="64">
        <v>52</v>
      </c>
      <c r="N18" s="65">
        <f t="shared" si="0"/>
        <v>72.222222222222214</v>
      </c>
      <c r="O18" s="64">
        <f t="shared" si="1"/>
        <v>0.72222222222222221</v>
      </c>
    </row>
    <row r="19" spans="1:15" x14ac:dyDescent="0.3">
      <c r="A19" s="7" t="s">
        <v>75</v>
      </c>
      <c r="B19" s="3" t="s">
        <v>76</v>
      </c>
      <c r="D19" s="60" t="s">
        <v>177</v>
      </c>
      <c r="E19" s="61"/>
      <c r="F19" s="61"/>
      <c r="G19" s="61"/>
      <c r="K19" s="64" t="s">
        <v>159</v>
      </c>
      <c r="M19" s="64">
        <v>56</v>
      </c>
      <c r="N19" s="65">
        <f t="shared" si="0"/>
        <v>77.777777777777786</v>
      </c>
      <c r="O19" s="64">
        <f t="shared" si="1"/>
        <v>0.77777777777777779</v>
      </c>
    </row>
    <row r="20" spans="1:15" ht="28.8" x14ac:dyDescent="0.3">
      <c r="A20" s="7" t="s">
        <v>77</v>
      </c>
      <c r="B20" s="3" t="s">
        <v>78</v>
      </c>
      <c r="D20" s="62" t="s">
        <v>75</v>
      </c>
      <c r="E20" s="61" t="s">
        <v>210</v>
      </c>
      <c r="F20" s="61" t="s">
        <v>211</v>
      </c>
      <c r="G20" s="61" t="s">
        <v>212</v>
      </c>
      <c r="K20" s="64" t="s">
        <v>160</v>
      </c>
      <c r="M20" s="64">
        <v>66</v>
      </c>
      <c r="N20" s="65">
        <f t="shared" si="0"/>
        <v>91.666666666666657</v>
      </c>
      <c r="O20" s="64">
        <f t="shared" si="1"/>
        <v>0.91666666666666663</v>
      </c>
    </row>
    <row r="21" spans="1:15" ht="28.8" x14ac:dyDescent="0.3">
      <c r="A21" s="6" t="s">
        <v>79</v>
      </c>
      <c r="B21" s="3"/>
      <c r="D21" s="62" t="s">
        <v>77</v>
      </c>
      <c r="E21" s="61" t="s">
        <v>213</v>
      </c>
      <c r="F21" s="61" t="s">
        <v>214</v>
      </c>
      <c r="G21" s="61" t="s">
        <v>215</v>
      </c>
      <c r="K21" s="64" t="s">
        <v>161</v>
      </c>
      <c r="M21" s="64">
        <v>66</v>
      </c>
      <c r="N21" s="65">
        <f t="shared" si="0"/>
        <v>91.666666666666657</v>
      </c>
      <c r="O21" s="64">
        <f t="shared" si="1"/>
        <v>0.91666666666666663</v>
      </c>
    </row>
    <row r="22" spans="1:15" ht="16.2" x14ac:dyDescent="0.3">
      <c r="A22" s="7" t="s">
        <v>80</v>
      </c>
      <c r="B22" s="3" t="s">
        <v>81</v>
      </c>
      <c r="D22" s="63" t="s">
        <v>85</v>
      </c>
      <c r="E22" s="63"/>
      <c r="F22" s="63"/>
      <c r="G22" s="63"/>
      <c r="K22" s="64" t="s">
        <v>162</v>
      </c>
      <c r="M22" s="64">
        <v>67</v>
      </c>
      <c r="N22" s="65">
        <f t="shared" si="0"/>
        <v>93.055555555555557</v>
      </c>
      <c r="O22" s="64">
        <f t="shared" si="1"/>
        <v>0.93055555555555558</v>
      </c>
    </row>
    <row r="23" spans="1:15" x14ac:dyDescent="0.3">
      <c r="A23" s="7" t="s">
        <v>82</v>
      </c>
      <c r="B23" s="3" t="s">
        <v>83</v>
      </c>
      <c r="K23" s="64" t="s">
        <v>163</v>
      </c>
      <c r="M23" s="64">
        <v>69</v>
      </c>
      <c r="N23" s="65">
        <f t="shared" si="0"/>
        <v>95.833333333333343</v>
      </c>
      <c r="O23" s="64">
        <f t="shared" si="1"/>
        <v>0.95833333333333337</v>
      </c>
    </row>
    <row r="24" spans="1:15" ht="16.2" x14ac:dyDescent="0.3">
      <c r="A24" s="35" t="s">
        <v>85</v>
      </c>
      <c r="B24" s="35"/>
      <c r="K24" s="64" t="s">
        <v>164</v>
      </c>
      <c r="M24" s="64">
        <v>72</v>
      </c>
      <c r="N24" s="65">
        <f t="shared" si="0"/>
        <v>100</v>
      </c>
      <c r="O24" s="64">
        <f t="shared" si="1"/>
        <v>1</v>
      </c>
    </row>
    <row r="31" spans="1:15" x14ac:dyDescent="0.3">
      <c r="L31" s="64" t="s">
        <v>149</v>
      </c>
    </row>
  </sheetData>
  <mergeCells count="7">
    <mergeCell ref="A1:B1"/>
    <mergeCell ref="A2:B2"/>
    <mergeCell ref="A24:B24"/>
    <mergeCell ref="D1:G1"/>
    <mergeCell ref="D2:G2"/>
    <mergeCell ref="D3:D4"/>
    <mergeCell ref="D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0C2D-CA39-42D0-AAFA-943778B10C90}">
  <dimension ref="A1:E67"/>
  <sheetViews>
    <sheetView topLeftCell="A38" workbookViewId="0">
      <selection activeCell="L50" sqref="L50"/>
    </sheetView>
  </sheetViews>
  <sheetFormatPr baseColWidth="10" defaultColWidth="8.88671875" defaultRowHeight="14.4" x14ac:dyDescent="0.3"/>
  <cols>
    <col min="1" max="1" width="24.33203125" customWidth="1"/>
    <col min="3" max="3" width="12.88671875" customWidth="1"/>
  </cols>
  <sheetData>
    <row r="1" spans="1:4" ht="15" thickBot="1" x14ac:dyDescent="0.35">
      <c r="A1" s="10" t="s">
        <v>86</v>
      </c>
    </row>
    <row r="2" spans="1:4" ht="15" thickTop="1" x14ac:dyDescent="0.3">
      <c r="A2" s="11"/>
      <c r="B2" s="43" t="s">
        <v>79</v>
      </c>
      <c r="C2" s="43"/>
      <c r="D2" s="43"/>
    </row>
    <row r="3" spans="1:4" ht="29.4" thickBot="1" x14ac:dyDescent="0.35">
      <c r="A3" s="12" t="s">
        <v>87</v>
      </c>
      <c r="B3" s="13" t="s">
        <v>88</v>
      </c>
      <c r="C3" s="13" t="s">
        <v>89</v>
      </c>
      <c r="D3" s="13" t="s">
        <v>90</v>
      </c>
    </row>
    <row r="4" spans="1:4" x14ac:dyDescent="0.3">
      <c r="A4" s="14" t="s">
        <v>91</v>
      </c>
      <c r="B4" s="15">
        <v>0.14000000000000001</v>
      </c>
      <c r="C4" s="15" t="s">
        <v>92</v>
      </c>
      <c r="D4" s="15" t="s">
        <v>93</v>
      </c>
    </row>
    <row r="5" spans="1:4" x14ac:dyDescent="0.3">
      <c r="A5" s="39" t="s">
        <v>94</v>
      </c>
      <c r="B5" s="39"/>
      <c r="C5" s="39"/>
      <c r="D5" s="39"/>
    </row>
    <row r="6" spans="1:4" ht="16.2" x14ac:dyDescent="0.3">
      <c r="A6" s="14" t="s">
        <v>100</v>
      </c>
      <c r="B6" s="42">
        <v>3.29</v>
      </c>
      <c r="C6" s="42"/>
      <c r="D6" s="42"/>
    </row>
    <row r="7" spans="1:4" ht="15.6" x14ac:dyDescent="0.3">
      <c r="A7" s="14" t="s">
        <v>101</v>
      </c>
      <c r="B7" s="42">
        <v>0.28000000000000003</v>
      </c>
      <c r="C7" s="42"/>
      <c r="D7" s="42"/>
    </row>
    <row r="8" spans="1:4" x14ac:dyDescent="0.3">
      <c r="A8" s="14" t="s">
        <v>95</v>
      </c>
      <c r="B8" s="42">
        <v>0.08</v>
      </c>
      <c r="C8" s="42"/>
      <c r="D8" s="42"/>
    </row>
    <row r="9" spans="1:4" ht="16.2" thickBot="1" x14ac:dyDescent="0.35">
      <c r="A9" s="14" t="s">
        <v>102</v>
      </c>
      <c r="B9" s="44">
        <v>72</v>
      </c>
      <c r="C9" s="44"/>
      <c r="D9" s="44"/>
    </row>
    <row r="10" spans="1:4" x14ac:dyDescent="0.3">
      <c r="A10" s="16" t="s">
        <v>96</v>
      </c>
      <c r="B10" s="41">
        <v>19503</v>
      </c>
      <c r="C10" s="41"/>
      <c r="D10" s="41"/>
    </row>
    <row r="11" spans="1:4" ht="16.2" x14ac:dyDescent="0.3">
      <c r="A11" s="14" t="s">
        <v>103</v>
      </c>
      <c r="B11" s="42" t="s">
        <v>97</v>
      </c>
      <c r="C11" s="42"/>
      <c r="D11" s="42"/>
    </row>
    <row r="12" spans="1:4" x14ac:dyDescent="0.3">
      <c r="A12" s="17" t="s">
        <v>98</v>
      </c>
      <c r="B12" s="18">
        <v>7.7580510000000005E-2</v>
      </c>
      <c r="C12" s="19"/>
      <c r="D12" s="19"/>
    </row>
    <row r="13" spans="1:4" x14ac:dyDescent="0.3">
      <c r="A13" s="20" t="s">
        <v>99</v>
      </c>
    </row>
    <row r="14" spans="1:4" x14ac:dyDescent="0.3">
      <c r="A14" s="20"/>
    </row>
    <row r="15" spans="1:4" x14ac:dyDescent="0.3">
      <c r="A15" s="20"/>
    </row>
    <row r="16" spans="1:4" x14ac:dyDescent="0.3">
      <c r="A16" s="20"/>
    </row>
    <row r="17" spans="1:5" ht="15" thickBot="1" x14ac:dyDescent="0.35">
      <c r="A17" s="10" t="s">
        <v>104</v>
      </c>
    </row>
    <row r="18" spans="1:5" ht="15" thickTop="1" x14ac:dyDescent="0.3">
      <c r="A18" s="11"/>
      <c r="B18" s="43" t="s">
        <v>79</v>
      </c>
      <c r="C18" s="43"/>
      <c r="D18" s="43"/>
    </row>
    <row r="19" spans="1:5" ht="29.4" thickBot="1" x14ac:dyDescent="0.35">
      <c r="A19" s="12" t="s">
        <v>87</v>
      </c>
      <c r="B19" s="13" t="s">
        <v>88</v>
      </c>
      <c r="C19" s="13" t="s">
        <v>89</v>
      </c>
      <c r="D19" s="13" t="s">
        <v>90</v>
      </c>
    </row>
    <row r="20" spans="1:5" x14ac:dyDescent="0.3">
      <c r="A20" s="14" t="s">
        <v>91</v>
      </c>
      <c r="B20" s="15">
        <v>0.05</v>
      </c>
      <c r="C20" s="15" t="s">
        <v>105</v>
      </c>
      <c r="D20" s="15" t="s">
        <v>93</v>
      </c>
    </row>
    <row r="21" spans="1:5" x14ac:dyDescent="0.3">
      <c r="A21" s="14" t="s">
        <v>106</v>
      </c>
      <c r="B21" s="15">
        <v>1.91</v>
      </c>
      <c r="C21" s="15" t="s">
        <v>107</v>
      </c>
      <c r="D21" s="15" t="s">
        <v>93</v>
      </c>
    </row>
    <row r="22" spans="1:5" x14ac:dyDescent="0.3">
      <c r="A22" s="14" t="s">
        <v>108</v>
      </c>
      <c r="B22" s="15">
        <v>1.05</v>
      </c>
      <c r="C22" s="15" t="s">
        <v>109</v>
      </c>
      <c r="D22" s="15">
        <v>0.51600000000000001</v>
      </c>
    </row>
    <row r="23" spans="1:5" x14ac:dyDescent="0.3">
      <c r="A23" s="14" t="s">
        <v>110</v>
      </c>
      <c r="B23" s="15">
        <v>1.64</v>
      </c>
      <c r="C23" s="15" t="s">
        <v>111</v>
      </c>
      <c r="D23" s="15" t="s">
        <v>93</v>
      </c>
    </row>
    <row r="24" spans="1:5" ht="28.8" x14ac:dyDescent="0.3">
      <c r="A24" s="21" t="s">
        <v>112</v>
      </c>
      <c r="B24" s="15">
        <v>1.62</v>
      </c>
      <c r="C24" s="15" t="s">
        <v>113</v>
      </c>
      <c r="D24" s="15" t="s">
        <v>93</v>
      </c>
    </row>
    <row r="25" spans="1:5" ht="28.8" x14ac:dyDescent="0.3">
      <c r="A25" s="21" t="s">
        <v>114</v>
      </c>
      <c r="B25" s="15">
        <v>1.34</v>
      </c>
      <c r="C25" s="15" t="s">
        <v>115</v>
      </c>
      <c r="D25" s="15" t="s">
        <v>93</v>
      </c>
    </row>
    <row r="26" spans="1:5" x14ac:dyDescent="0.3">
      <c r="A26" s="14" t="s">
        <v>116</v>
      </c>
      <c r="B26" s="15">
        <v>1.36</v>
      </c>
      <c r="C26" s="15" t="s">
        <v>117</v>
      </c>
      <c r="D26" s="15" t="s">
        <v>93</v>
      </c>
    </row>
    <row r="27" spans="1:5" x14ac:dyDescent="0.3">
      <c r="A27" s="14" t="s">
        <v>118</v>
      </c>
      <c r="B27" s="15">
        <v>1.32</v>
      </c>
      <c r="C27" s="15" t="s">
        <v>119</v>
      </c>
      <c r="D27" s="15" t="s">
        <v>93</v>
      </c>
    </row>
    <row r="28" spans="1:5" x14ac:dyDescent="0.3">
      <c r="A28" s="39" t="s">
        <v>94</v>
      </c>
      <c r="B28" s="39"/>
      <c r="C28" s="39"/>
      <c r="D28" s="39"/>
      <c r="E28" s="39"/>
    </row>
    <row r="29" spans="1:5" ht="16.2" x14ac:dyDescent="0.3">
      <c r="A29" s="14" t="s">
        <v>100</v>
      </c>
      <c r="B29" s="36">
        <v>3.29</v>
      </c>
      <c r="C29" s="36"/>
      <c r="D29" s="36"/>
      <c r="E29" s="22"/>
    </row>
    <row r="30" spans="1:5" ht="15.6" x14ac:dyDescent="0.3">
      <c r="A30" s="14" t="s">
        <v>101</v>
      </c>
      <c r="B30" s="36">
        <v>0.03</v>
      </c>
      <c r="C30" s="36"/>
      <c r="D30" s="36"/>
      <c r="E30" s="22"/>
    </row>
    <row r="31" spans="1:5" x14ac:dyDescent="0.3">
      <c r="A31" s="14" t="s">
        <v>95</v>
      </c>
      <c r="B31" s="36">
        <v>0.01</v>
      </c>
      <c r="C31" s="36"/>
      <c r="D31" s="36"/>
      <c r="E31" s="22"/>
    </row>
    <row r="32" spans="1:5" ht="16.2" thickBot="1" x14ac:dyDescent="0.35">
      <c r="A32" s="14" t="s">
        <v>102</v>
      </c>
      <c r="B32" s="37">
        <v>72</v>
      </c>
      <c r="C32" s="37"/>
      <c r="D32" s="37"/>
    </row>
    <row r="33" spans="1:5" x14ac:dyDescent="0.3">
      <c r="A33" s="16" t="s">
        <v>96</v>
      </c>
      <c r="B33" s="38">
        <v>19503</v>
      </c>
      <c r="C33" s="38"/>
      <c r="D33" s="38"/>
    </row>
    <row r="34" spans="1:5" ht="16.2" x14ac:dyDescent="0.3">
      <c r="A34" s="14" t="s">
        <v>103</v>
      </c>
      <c r="B34" s="36" t="s">
        <v>120</v>
      </c>
      <c r="C34" s="36"/>
      <c r="D34" s="36"/>
    </row>
    <row r="36" spans="1:5" x14ac:dyDescent="0.3">
      <c r="A36" s="9" t="s">
        <v>98</v>
      </c>
      <c r="B36" s="40">
        <v>7.9442479999999992E-3</v>
      </c>
      <c r="C36" s="40"/>
      <c r="D36" s="8">
        <v>0.79442480000000004</v>
      </c>
    </row>
    <row r="37" spans="1:5" ht="14.4" customHeight="1" x14ac:dyDescent="0.3">
      <c r="A37" s="23" t="s">
        <v>127</v>
      </c>
      <c r="C37" s="8"/>
    </row>
    <row r="38" spans="1:5" x14ac:dyDescent="0.3">
      <c r="A38" s="23"/>
      <c r="B38" s="8"/>
      <c r="C38" s="8"/>
    </row>
    <row r="39" spans="1:5" x14ac:dyDescent="0.3">
      <c r="A39" t="s">
        <v>131</v>
      </c>
      <c r="B39">
        <v>90.481650000000002</v>
      </c>
      <c r="C39" s="8"/>
    </row>
    <row r="40" spans="1:5" ht="29.4" thickBot="1" x14ac:dyDescent="0.35">
      <c r="A40" s="26" t="s">
        <v>87</v>
      </c>
      <c r="B40" s="26" t="s">
        <v>88</v>
      </c>
      <c r="C40" s="26" t="s">
        <v>89</v>
      </c>
      <c r="D40" s="26" t="s">
        <v>88</v>
      </c>
      <c r="E40" s="26" t="s">
        <v>89</v>
      </c>
    </row>
    <row r="42" spans="1:5" ht="28.8" x14ac:dyDescent="0.3">
      <c r="A42" s="14" t="s">
        <v>91</v>
      </c>
      <c r="B42" s="15" t="s">
        <v>144</v>
      </c>
      <c r="C42" s="15" t="s">
        <v>132</v>
      </c>
      <c r="D42" s="15">
        <v>0.05</v>
      </c>
      <c r="E42" s="15" t="s">
        <v>105</v>
      </c>
    </row>
    <row r="43" spans="1:5" ht="28.8" x14ac:dyDescent="0.3">
      <c r="A43" s="14" t="s">
        <v>106</v>
      </c>
      <c r="B43" s="15"/>
      <c r="C43" s="15"/>
      <c r="D43" s="15">
        <v>1.91</v>
      </c>
      <c r="E43" s="15" t="s">
        <v>107</v>
      </c>
    </row>
    <row r="44" spans="1:5" ht="28.8" x14ac:dyDescent="0.3">
      <c r="A44" s="14" t="s">
        <v>108</v>
      </c>
      <c r="B44" s="15"/>
      <c r="C44" s="15"/>
      <c r="D44" s="15">
        <v>1.05</v>
      </c>
      <c r="E44" s="15" t="s">
        <v>109</v>
      </c>
    </row>
    <row r="45" spans="1:5" ht="28.8" x14ac:dyDescent="0.3">
      <c r="A45" s="14" t="s">
        <v>110</v>
      </c>
      <c r="B45" s="15"/>
      <c r="C45" s="15"/>
      <c r="D45" s="15">
        <v>1.64</v>
      </c>
      <c r="E45" s="15" t="s">
        <v>111</v>
      </c>
    </row>
    <row r="46" spans="1:5" ht="28.8" x14ac:dyDescent="0.3">
      <c r="A46" s="21" t="s">
        <v>112</v>
      </c>
      <c r="B46" s="25"/>
      <c r="C46" s="25"/>
      <c r="D46" s="15">
        <v>1.62</v>
      </c>
      <c r="E46" s="15" t="s">
        <v>113</v>
      </c>
    </row>
    <row r="47" spans="1:5" ht="28.8" x14ac:dyDescent="0.3">
      <c r="A47" s="21" t="s">
        <v>114</v>
      </c>
      <c r="B47" s="25"/>
      <c r="C47" s="25"/>
      <c r="D47" s="15">
        <v>1.34</v>
      </c>
      <c r="E47" s="15" t="s">
        <v>115</v>
      </c>
    </row>
    <row r="48" spans="1:5" ht="28.8" x14ac:dyDescent="0.3">
      <c r="A48" s="14" t="s">
        <v>116</v>
      </c>
      <c r="B48" s="15"/>
      <c r="C48" s="15"/>
      <c r="D48" s="15">
        <v>1.36</v>
      </c>
      <c r="E48" s="15" t="s">
        <v>117</v>
      </c>
    </row>
    <row r="49" spans="1:5" ht="28.8" x14ac:dyDescent="0.3">
      <c r="A49" s="14" t="s">
        <v>118</v>
      </c>
      <c r="B49" s="15"/>
      <c r="C49" s="15"/>
      <c r="D49" s="15">
        <v>1.32</v>
      </c>
      <c r="E49" s="15" t="s">
        <v>119</v>
      </c>
    </row>
    <row r="50" spans="1:5" x14ac:dyDescent="0.3">
      <c r="A50" s="39" t="s">
        <v>94</v>
      </c>
      <c r="B50" s="39"/>
      <c r="C50" s="39"/>
      <c r="D50" s="39"/>
      <c r="E50" s="39"/>
    </row>
    <row r="51" spans="1:5" ht="16.2" x14ac:dyDescent="0.3">
      <c r="A51" s="14" t="s">
        <v>100</v>
      </c>
      <c r="B51" s="36">
        <v>3.29</v>
      </c>
      <c r="C51" s="36"/>
      <c r="D51" s="36">
        <v>3.29</v>
      </c>
      <c r="E51" s="36"/>
    </row>
    <row r="52" spans="1:5" ht="15.6" x14ac:dyDescent="0.3">
      <c r="A52" s="14" t="s">
        <v>145</v>
      </c>
      <c r="B52" s="36" t="s">
        <v>146</v>
      </c>
      <c r="C52" s="36"/>
      <c r="D52" s="36" t="s">
        <v>147</v>
      </c>
      <c r="E52" s="36"/>
    </row>
    <row r="53" spans="1:5" x14ac:dyDescent="0.3">
      <c r="A53" s="14" t="s">
        <v>95</v>
      </c>
      <c r="B53" s="36">
        <v>0.08</v>
      </c>
      <c r="C53" s="36"/>
      <c r="D53" s="36">
        <v>0.01</v>
      </c>
      <c r="E53" s="36"/>
    </row>
    <row r="54" spans="1:5" ht="15" thickBot="1" x14ac:dyDescent="0.35">
      <c r="A54" s="14" t="s">
        <v>133</v>
      </c>
      <c r="B54" s="37" t="s">
        <v>148</v>
      </c>
      <c r="C54" s="37"/>
      <c r="D54" s="37" t="s">
        <v>148</v>
      </c>
      <c r="E54" s="37"/>
    </row>
    <row r="55" spans="1:5" x14ac:dyDescent="0.3">
      <c r="A55" s="16" t="s">
        <v>96</v>
      </c>
      <c r="B55" s="38">
        <v>19500</v>
      </c>
      <c r="C55" s="38"/>
      <c r="D55" s="38">
        <v>19500</v>
      </c>
      <c r="E55" s="38"/>
    </row>
    <row r="56" spans="1:5" x14ac:dyDescent="0.3">
      <c r="A56" s="27" t="s">
        <v>134</v>
      </c>
      <c r="B56">
        <v>7.7580510000000005E-2</v>
      </c>
    </row>
    <row r="57" spans="1:5" x14ac:dyDescent="0.3">
      <c r="A57" s="27" t="s">
        <v>135</v>
      </c>
      <c r="B57">
        <v>7.9442479999999992E-3</v>
      </c>
    </row>
    <row r="58" spans="1:5" x14ac:dyDescent="0.3">
      <c r="A58" s="27" t="s">
        <v>136</v>
      </c>
      <c r="B58">
        <v>90.47878</v>
      </c>
    </row>
    <row r="59" spans="1:5" x14ac:dyDescent="0.3">
      <c r="A59" s="27"/>
    </row>
    <row r="60" spans="1:5" x14ac:dyDescent="0.3">
      <c r="A60" s="27" t="s">
        <v>137</v>
      </c>
      <c r="B60">
        <v>0.64979770000000003</v>
      </c>
    </row>
    <row r="61" spans="1:5" ht="28.8" x14ac:dyDescent="0.3">
      <c r="A61" s="27" t="s">
        <v>138</v>
      </c>
      <c r="B61">
        <v>0.5</v>
      </c>
    </row>
    <row r="62" spans="1:5" x14ac:dyDescent="0.3">
      <c r="A62" s="27" t="s">
        <v>139</v>
      </c>
      <c r="B62">
        <v>0.64516010000000001</v>
      </c>
    </row>
    <row r="63" spans="1:5" ht="28.8" x14ac:dyDescent="0.3">
      <c r="A63" s="27" t="s">
        <v>140</v>
      </c>
      <c r="B63">
        <v>0.63441369999999997</v>
      </c>
    </row>
    <row r="65" spans="1:1" x14ac:dyDescent="0.3">
      <c r="A65" t="s">
        <v>141</v>
      </c>
    </row>
    <row r="66" spans="1:1" x14ac:dyDescent="0.3">
      <c r="A66" t="s">
        <v>142</v>
      </c>
    </row>
    <row r="67" spans="1:1" x14ac:dyDescent="0.3">
      <c r="A67" t="s">
        <v>143</v>
      </c>
    </row>
  </sheetData>
  <mergeCells count="28">
    <mergeCell ref="B9:D9"/>
    <mergeCell ref="B2:D2"/>
    <mergeCell ref="A5:D5"/>
    <mergeCell ref="B6:D6"/>
    <mergeCell ref="B7:D7"/>
    <mergeCell ref="B8:D8"/>
    <mergeCell ref="B36:C36"/>
    <mergeCell ref="B10:D10"/>
    <mergeCell ref="B11:D11"/>
    <mergeCell ref="B18:D18"/>
    <mergeCell ref="A28:E28"/>
    <mergeCell ref="B29:D29"/>
    <mergeCell ref="B30:D30"/>
    <mergeCell ref="B31:D31"/>
    <mergeCell ref="B32:D32"/>
    <mergeCell ref="B33:D33"/>
    <mergeCell ref="B34:D34"/>
    <mergeCell ref="A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C60F-1F9A-44BA-B029-B52BD23DE95C}">
  <dimension ref="A1:C74"/>
  <sheetViews>
    <sheetView workbookViewId="0">
      <selection activeCell="D4" sqref="D4"/>
    </sheetView>
  </sheetViews>
  <sheetFormatPr baseColWidth="10" defaultColWidth="8.88671875" defaultRowHeight="14.4" x14ac:dyDescent="0.3"/>
  <sheetData>
    <row r="1" spans="1:3" x14ac:dyDescent="0.3">
      <c r="A1" t="s">
        <v>128</v>
      </c>
    </row>
    <row r="2" spans="1:3" x14ac:dyDescent="0.3">
      <c r="B2" s="25" t="s">
        <v>129</v>
      </c>
      <c r="C2" s="25" t="s">
        <v>130</v>
      </c>
    </row>
    <row r="3" spans="1:3" x14ac:dyDescent="0.3">
      <c r="A3">
        <v>11111</v>
      </c>
      <c r="B3" s="24">
        <v>96</v>
      </c>
      <c r="C3" s="24">
        <v>4</v>
      </c>
    </row>
    <row r="4" spans="1:3" x14ac:dyDescent="0.3">
      <c r="A4">
        <v>11112</v>
      </c>
      <c r="B4" s="24">
        <v>92.015209125475295</v>
      </c>
      <c r="C4" s="24">
        <v>7.9847908745247196</v>
      </c>
    </row>
    <row r="5" spans="1:3" x14ac:dyDescent="0.3">
      <c r="A5">
        <v>11121</v>
      </c>
      <c r="B5" s="24">
        <v>97.350993377483405</v>
      </c>
      <c r="C5" s="24">
        <v>2.64900662251656</v>
      </c>
    </row>
    <row r="6" spans="1:3" x14ac:dyDescent="0.3">
      <c r="A6">
        <v>11122</v>
      </c>
      <c r="B6" s="24">
        <v>89.887640449438194</v>
      </c>
      <c r="C6" s="24">
        <v>10.1123595505618</v>
      </c>
    </row>
    <row r="7" spans="1:3" x14ac:dyDescent="0.3">
      <c r="A7">
        <v>11131</v>
      </c>
      <c r="B7" s="24">
        <v>91.791044776119406</v>
      </c>
      <c r="C7" s="24">
        <v>8.2089552238806007</v>
      </c>
    </row>
    <row r="8" spans="1:3" x14ac:dyDescent="0.3">
      <c r="A8">
        <v>11132</v>
      </c>
      <c r="B8" s="24">
        <v>91.312384473197795</v>
      </c>
      <c r="C8" s="24">
        <v>8.6876155268022206</v>
      </c>
    </row>
    <row r="9" spans="1:3" x14ac:dyDescent="0.3">
      <c r="A9">
        <v>11211</v>
      </c>
      <c r="B9" s="24">
        <v>90.476190476190496</v>
      </c>
      <c r="C9" s="24">
        <v>9.5238095238095202</v>
      </c>
    </row>
    <row r="10" spans="1:3" x14ac:dyDescent="0.3">
      <c r="A10">
        <v>11212</v>
      </c>
      <c r="B10" s="24">
        <v>91.428571428571402</v>
      </c>
      <c r="C10" s="24">
        <v>8.5714285714285694</v>
      </c>
    </row>
    <row r="11" spans="1:3" x14ac:dyDescent="0.3">
      <c r="A11">
        <v>11221</v>
      </c>
      <c r="B11" s="24">
        <v>91.891891891891902</v>
      </c>
      <c r="C11" s="24">
        <v>8.1081081081081106</v>
      </c>
    </row>
    <row r="12" spans="1:3" x14ac:dyDescent="0.3">
      <c r="A12">
        <v>11222</v>
      </c>
      <c r="B12" s="24">
        <v>85.853658536585399</v>
      </c>
      <c r="C12" s="24">
        <v>14.146341463414601</v>
      </c>
    </row>
    <row r="13" spans="1:3" x14ac:dyDescent="0.3">
      <c r="A13">
        <v>11231</v>
      </c>
      <c r="B13" s="24">
        <v>86.046511627906995</v>
      </c>
      <c r="C13" s="24">
        <v>13.953488372093</v>
      </c>
    </row>
    <row r="14" spans="1:3" x14ac:dyDescent="0.3">
      <c r="A14">
        <v>11232</v>
      </c>
      <c r="B14" s="24">
        <v>87.678571428571402</v>
      </c>
      <c r="C14" s="24">
        <v>12.3214285714286</v>
      </c>
    </row>
    <row r="15" spans="1:3" x14ac:dyDescent="0.3">
      <c r="A15">
        <v>12111</v>
      </c>
      <c r="B15" s="24">
        <v>95.061728395061706</v>
      </c>
      <c r="C15" s="24">
        <v>4.9382716049382704</v>
      </c>
    </row>
    <row r="16" spans="1:3" x14ac:dyDescent="0.3">
      <c r="A16">
        <v>12112</v>
      </c>
      <c r="B16" s="24">
        <v>94.240837696335106</v>
      </c>
      <c r="C16" s="24">
        <v>5.7591623036649198</v>
      </c>
    </row>
    <row r="17" spans="1:3" x14ac:dyDescent="0.3">
      <c r="A17">
        <v>12121</v>
      </c>
      <c r="B17" s="24">
        <v>91.970802919708007</v>
      </c>
      <c r="C17" s="24">
        <v>8.0291970802919703</v>
      </c>
    </row>
    <row r="18" spans="1:3" x14ac:dyDescent="0.3">
      <c r="A18">
        <v>12122</v>
      </c>
      <c r="B18" s="24">
        <v>92.173913043478294</v>
      </c>
      <c r="C18" s="24">
        <v>7.8260869565217401</v>
      </c>
    </row>
    <row r="19" spans="1:3" x14ac:dyDescent="0.3">
      <c r="A19">
        <v>12131</v>
      </c>
      <c r="B19" s="24">
        <v>93.625498007968105</v>
      </c>
      <c r="C19" s="24">
        <v>6.3745019920318704</v>
      </c>
    </row>
    <row r="20" spans="1:3" x14ac:dyDescent="0.3">
      <c r="A20">
        <v>12132</v>
      </c>
      <c r="B20" s="24">
        <v>91.902834008097201</v>
      </c>
      <c r="C20" s="24">
        <v>8.0971659919028305</v>
      </c>
    </row>
    <row r="21" spans="1:3" x14ac:dyDescent="0.3">
      <c r="A21">
        <v>12211</v>
      </c>
      <c r="B21" s="24">
        <v>91.156462585034006</v>
      </c>
      <c r="C21" s="24">
        <v>8.84353741496599</v>
      </c>
    </row>
    <row r="22" spans="1:3" x14ac:dyDescent="0.3">
      <c r="A22">
        <v>12212</v>
      </c>
      <c r="B22" s="24">
        <v>89.576547231270396</v>
      </c>
      <c r="C22" s="24">
        <v>10.4234527687296</v>
      </c>
    </row>
    <row r="23" spans="1:3" x14ac:dyDescent="0.3">
      <c r="A23">
        <v>12221</v>
      </c>
      <c r="B23" s="24">
        <v>83.823529411764696</v>
      </c>
      <c r="C23" s="24">
        <v>16.176470588235301</v>
      </c>
    </row>
    <row r="24" spans="1:3" x14ac:dyDescent="0.3">
      <c r="A24">
        <v>12222</v>
      </c>
      <c r="B24" s="24">
        <v>92.582417582417605</v>
      </c>
      <c r="C24" s="24">
        <v>7.4175824175824197</v>
      </c>
    </row>
    <row r="25" spans="1:3" x14ac:dyDescent="0.3">
      <c r="A25">
        <v>12231</v>
      </c>
      <c r="B25" s="24">
        <v>90.209790209790199</v>
      </c>
      <c r="C25" s="24">
        <v>9.79020979020979</v>
      </c>
    </row>
    <row r="26" spans="1:3" x14ac:dyDescent="0.3">
      <c r="A26">
        <v>12232</v>
      </c>
      <c r="B26" s="24">
        <v>89.432485322896298</v>
      </c>
      <c r="C26" s="24">
        <v>10.5675146771037</v>
      </c>
    </row>
    <row r="27" spans="1:3" x14ac:dyDescent="0.3">
      <c r="A27">
        <v>13111</v>
      </c>
      <c r="B27" s="24">
        <v>96.774193548387103</v>
      </c>
      <c r="C27" s="24">
        <v>3.2258064516128999</v>
      </c>
    </row>
    <row r="28" spans="1:3" x14ac:dyDescent="0.3">
      <c r="A28">
        <v>13112</v>
      </c>
      <c r="B28" s="24">
        <v>89.552238805970106</v>
      </c>
      <c r="C28" s="24">
        <v>10.4477611940298</v>
      </c>
    </row>
    <row r="29" spans="1:3" x14ac:dyDescent="0.3">
      <c r="A29">
        <v>13121</v>
      </c>
      <c r="B29" s="24">
        <v>88.785046728972006</v>
      </c>
      <c r="C29" s="24">
        <v>11.214953271028</v>
      </c>
    </row>
    <row r="30" spans="1:3" x14ac:dyDescent="0.3">
      <c r="A30">
        <v>13122</v>
      </c>
      <c r="B30" s="24">
        <v>85.714285714285694</v>
      </c>
      <c r="C30" s="24">
        <v>14.285714285714301</v>
      </c>
    </row>
    <row r="31" spans="1:3" x14ac:dyDescent="0.3">
      <c r="A31">
        <v>13131</v>
      </c>
      <c r="B31" s="24">
        <v>93.3333333333333</v>
      </c>
      <c r="C31" s="24">
        <v>6.6666666666666696</v>
      </c>
    </row>
    <row r="32" spans="1:3" x14ac:dyDescent="0.3">
      <c r="A32">
        <v>13132</v>
      </c>
      <c r="B32" s="24">
        <v>89.5372233400402</v>
      </c>
      <c r="C32" s="24">
        <v>10.4627766599598</v>
      </c>
    </row>
    <row r="33" spans="1:3" x14ac:dyDescent="0.3">
      <c r="A33">
        <v>13211</v>
      </c>
      <c r="B33" s="24">
        <v>93.661971830985905</v>
      </c>
      <c r="C33" s="24">
        <v>6.3380281690140796</v>
      </c>
    </row>
    <row r="34" spans="1:3" x14ac:dyDescent="0.3">
      <c r="A34">
        <v>13212</v>
      </c>
      <c r="B34" s="24">
        <v>90.7780979827089</v>
      </c>
      <c r="C34" s="24">
        <v>9.22190201729107</v>
      </c>
    </row>
    <row r="35" spans="1:3" x14ac:dyDescent="0.3">
      <c r="A35">
        <v>13221</v>
      </c>
      <c r="B35" s="24">
        <v>88.0208333333333</v>
      </c>
      <c r="C35" s="24">
        <v>11.9791666666667</v>
      </c>
    </row>
    <row r="36" spans="1:3" x14ac:dyDescent="0.3">
      <c r="A36">
        <v>13222</v>
      </c>
      <c r="B36" s="24">
        <v>84.084880636604794</v>
      </c>
      <c r="C36" s="24">
        <v>15.915119363395201</v>
      </c>
    </row>
    <row r="37" spans="1:3" x14ac:dyDescent="0.3">
      <c r="A37">
        <v>13231</v>
      </c>
      <c r="B37" s="24">
        <v>87.5555555555556</v>
      </c>
      <c r="C37" s="24">
        <v>12.4444444444444</v>
      </c>
    </row>
    <row r="38" spans="1:3" x14ac:dyDescent="0.3">
      <c r="A38">
        <v>13232</v>
      </c>
      <c r="B38" s="24">
        <v>83.977900552486204</v>
      </c>
      <c r="C38" s="24">
        <v>16.022099447513799</v>
      </c>
    </row>
    <row r="39" spans="1:3" x14ac:dyDescent="0.3">
      <c r="A39">
        <v>21111</v>
      </c>
      <c r="B39" s="24">
        <v>95.522388059701498</v>
      </c>
      <c r="C39" s="24">
        <v>4.4776119402985097</v>
      </c>
    </row>
    <row r="40" spans="1:3" x14ac:dyDescent="0.3">
      <c r="A40">
        <v>21112</v>
      </c>
      <c r="B40" s="24">
        <v>90</v>
      </c>
      <c r="C40" s="24">
        <v>10</v>
      </c>
    </row>
    <row r="41" spans="1:3" x14ac:dyDescent="0.3">
      <c r="A41">
        <v>21121</v>
      </c>
      <c r="B41" s="24">
        <v>93.75</v>
      </c>
      <c r="C41" s="24">
        <v>6.25</v>
      </c>
    </row>
    <row r="42" spans="1:3" x14ac:dyDescent="0.3">
      <c r="A42">
        <v>21122</v>
      </c>
      <c r="B42" s="24">
        <v>88.273615635179098</v>
      </c>
      <c r="C42" s="24">
        <v>11.726384364820801</v>
      </c>
    </row>
    <row r="43" spans="1:3" x14ac:dyDescent="0.3">
      <c r="A43">
        <v>21131</v>
      </c>
      <c r="B43" s="24">
        <v>90.188679245282998</v>
      </c>
      <c r="C43" s="24">
        <v>9.8113207547169807</v>
      </c>
    </row>
    <row r="44" spans="1:3" x14ac:dyDescent="0.3">
      <c r="A44">
        <v>21132</v>
      </c>
      <c r="B44" s="24">
        <v>90.466926070038895</v>
      </c>
      <c r="C44" s="24">
        <v>9.5330739299610894</v>
      </c>
    </row>
    <row r="45" spans="1:3" x14ac:dyDescent="0.3">
      <c r="A45">
        <v>21211</v>
      </c>
      <c r="B45" s="24">
        <v>90.579710144927503</v>
      </c>
      <c r="C45" s="24">
        <v>9.4202898550724594</v>
      </c>
    </row>
    <row r="46" spans="1:3" x14ac:dyDescent="0.3">
      <c r="A46">
        <v>21212</v>
      </c>
      <c r="B46" s="24">
        <v>82.840236686390497</v>
      </c>
      <c r="C46" s="24">
        <v>17.159763313609499</v>
      </c>
    </row>
    <row r="47" spans="1:3" x14ac:dyDescent="0.3">
      <c r="A47">
        <v>21221</v>
      </c>
      <c r="B47" s="24">
        <v>83.710407239819006</v>
      </c>
      <c r="C47" s="24">
        <v>16.289592760181002</v>
      </c>
    </row>
    <row r="48" spans="1:3" x14ac:dyDescent="0.3">
      <c r="A48">
        <v>21222</v>
      </c>
      <c r="B48" s="24">
        <v>82.957393483709296</v>
      </c>
      <c r="C48" s="24">
        <v>17.0426065162907</v>
      </c>
    </row>
    <row r="49" spans="1:3" x14ac:dyDescent="0.3">
      <c r="A49">
        <v>21231</v>
      </c>
      <c r="B49" s="24">
        <v>82.440476190476204</v>
      </c>
      <c r="C49" s="24">
        <v>17.5595238095238</v>
      </c>
    </row>
    <row r="50" spans="1:3" x14ac:dyDescent="0.3">
      <c r="A50">
        <v>21232</v>
      </c>
      <c r="B50" s="24">
        <v>80.882352941176507</v>
      </c>
      <c r="C50" s="24">
        <v>19.117647058823501</v>
      </c>
    </row>
    <row r="51" spans="1:3" x14ac:dyDescent="0.3">
      <c r="A51">
        <v>22111</v>
      </c>
      <c r="B51" s="24">
        <v>97.402597402597394</v>
      </c>
      <c r="C51" s="24">
        <v>2.5974025974026</v>
      </c>
    </row>
    <row r="52" spans="1:3" x14ac:dyDescent="0.3">
      <c r="A52">
        <v>22112</v>
      </c>
      <c r="B52" s="24">
        <v>86.263736263736305</v>
      </c>
      <c r="C52" s="24">
        <v>13.7362637362637</v>
      </c>
    </row>
    <row r="53" spans="1:3" x14ac:dyDescent="0.3">
      <c r="A53">
        <v>22121</v>
      </c>
      <c r="B53" s="24">
        <v>92.96875</v>
      </c>
      <c r="C53" s="24">
        <v>7.03125</v>
      </c>
    </row>
    <row r="54" spans="1:3" x14ac:dyDescent="0.3">
      <c r="A54">
        <v>22122</v>
      </c>
      <c r="B54" s="24">
        <v>86.637931034482804</v>
      </c>
      <c r="C54" s="24">
        <v>13.362068965517199</v>
      </c>
    </row>
    <row r="55" spans="1:3" x14ac:dyDescent="0.3">
      <c r="A55">
        <v>22131</v>
      </c>
      <c r="B55" s="24">
        <v>89.754098360655703</v>
      </c>
      <c r="C55" s="24">
        <v>10.2459016393443</v>
      </c>
    </row>
    <row r="56" spans="1:3" x14ac:dyDescent="0.3">
      <c r="A56">
        <v>22132</v>
      </c>
      <c r="B56" s="24">
        <v>86.842105263157904</v>
      </c>
      <c r="C56" s="24">
        <v>13.157894736842101</v>
      </c>
    </row>
    <row r="57" spans="1:3" x14ac:dyDescent="0.3">
      <c r="A57">
        <v>22211</v>
      </c>
      <c r="B57" s="24">
        <v>89.5833333333333</v>
      </c>
      <c r="C57" s="24">
        <v>10.4166666666667</v>
      </c>
    </row>
    <row r="58" spans="1:3" x14ac:dyDescent="0.3">
      <c r="A58">
        <v>22212</v>
      </c>
      <c r="B58" s="24">
        <v>84.090909090909093</v>
      </c>
      <c r="C58" s="24">
        <v>15.909090909090899</v>
      </c>
    </row>
    <row r="59" spans="1:3" x14ac:dyDescent="0.3">
      <c r="A59">
        <v>22221</v>
      </c>
      <c r="B59" s="24">
        <v>78.947368421052602</v>
      </c>
      <c r="C59" s="24">
        <v>21.052631578947398</v>
      </c>
    </row>
    <row r="60" spans="1:3" x14ac:dyDescent="0.3">
      <c r="A60">
        <v>22222</v>
      </c>
      <c r="B60" s="24">
        <v>79.464285714285694</v>
      </c>
      <c r="C60" s="24">
        <v>20.535714285714299</v>
      </c>
    </row>
    <row r="61" spans="1:3" x14ac:dyDescent="0.3">
      <c r="A61">
        <v>22231</v>
      </c>
      <c r="B61" s="24">
        <v>77.659574468085097</v>
      </c>
      <c r="C61" s="24">
        <v>22.340425531914899</v>
      </c>
    </row>
    <row r="62" spans="1:3" x14ac:dyDescent="0.3">
      <c r="A62">
        <v>22232</v>
      </c>
      <c r="B62" s="24">
        <v>78.813559322033896</v>
      </c>
      <c r="C62" s="24">
        <v>21.1864406779661</v>
      </c>
    </row>
    <row r="63" spans="1:3" x14ac:dyDescent="0.3">
      <c r="A63">
        <v>23111</v>
      </c>
      <c r="B63" s="24">
        <v>77.7777777777778</v>
      </c>
      <c r="C63" s="24">
        <v>22.2222222222222</v>
      </c>
    </row>
    <row r="64" spans="1:3" x14ac:dyDescent="0.3">
      <c r="A64">
        <v>23112</v>
      </c>
      <c r="B64" s="24">
        <v>75.897435897435898</v>
      </c>
      <c r="C64" s="24">
        <v>24.102564102564099</v>
      </c>
    </row>
    <row r="65" spans="1:3" x14ac:dyDescent="0.3">
      <c r="A65">
        <v>23121</v>
      </c>
      <c r="B65" s="24">
        <v>87.394957983193294</v>
      </c>
      <c r="C65" s="24">
        <v>12.605042016806699</v>
      </c>
    </row>
    <row r="66" spans="1:3" x14ac:dyDescent="0.3">
      <c r="A66">
        <v>23122</v>
      </c>
      <c r="B66" s="24">
        <v>72.357723577235802</v>
      </c>
      <c r="C66" s="24">
        <v>27.642276422764201</v>
      </c>
    </row>
    <row r="67" spans="1:3" x14ac:dyDescent="0.3">
      <c r="A67">
        <v>23131</v>
      </c>
      <c r="B67" s="24">
        <v>86.936936936936902</v>
      </c>
      <c r="C67" s="24">
        <v>13.063063063063099</v>
      </c>
    </row>
    <row r="68" spans="1:3" x14ac:dyDescent="0.3">
      <c r="A68">
        <v>23132</v>
      </c>
      <c r="B68" s="24">
        <v>76.595744680851098</v>
      </c>
      <c r="C68" s="24">
        <v>23.404255319148898</v>
      </c>
    </row>
    <row r="69" spans="1:3" x14ac:dyDescent="0.3">
      <c r="A69">
        <v>23211</v>
      </c>
      <c r="B69" s="24">
        <v>80.769230769230802</v>
      </c>
      <c r="C69" s="24">
        <v>19.230769230769202</v>
      </c>
    </row>
    <row r="70" spans="1:3" x14ac:dyDescent="0.3">
      <c r="A70">
        <v>23212</v>
      </c>
      <c r="B70" s="24">
        <v>77.707006369426793</v>
      </c>
      <c r="C70" s="24">
        <v>22.2929936305732</v>
      </c>
    </row>
    <row r="71" spans="1:3" x14ac:dyDescent="0.3">
      <c r="A71">
        <v>23221</v>
      </c>
      <c r="B71" s="24">
        <v>77.070063694267503</v>
      </c>
      <c r="C71" s="24">
        <v>22.9299363057325</v>
      </c>
    </row>
    <row r="72" spans="1:3" x14ac:dyDescent="0.3">
      <c r="A72">
        <v>23222</v>
      </c>
      <c r="B72" s="24">
        <v>67.806267806267797</v>
      </c>
      <c r="C72" s="24">
        <v>32.193732193732203</v>
      </c>
    </row>
    <row r="73" spans="1:3" x14ac:dyDescent="0.3">
      <c r="A73">
        <v>23231</v>
      </c>
      <c r="B73" s="24">
        <v>72.289156626505999</v>
      </c>
      <c r="C73" s="24">
        <v>27.710843373494001</v>
      </c>
    </row>
    <row r="74" spans="1:3" x14ac:dyDescent="0.3">
      <c r="A74">
        <v>23232</v>
      </c>
      <c r="B74" s="24">
        <v>67.594433399602394</v>
      </c>
      <c r="C74" s="24">
        <v>32.405566600397599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686-15BB-461D-9535-4954B854B5B7}">
  <dimension ref="A1:AP73"/>
  <sheetViews>
    <sheetView workbookViewId="0">
      <selection sqref="A1:G1048576"/>
    </sheetView>
  </sheetViews>
  <sheetFormatPr baseColWidth="10" defaultColWidth="8.88671875" defaultRowHeight="14.4" x14ac:dyDescent="0.3"/>
  <cols>
    <col min="1" max="1" width="9.5546875" customWidth="1"/>
    <col min="2" max="2" width="9.33203125" customWidth="1"/>
    <col min="4" max="4" width="11.6640625" customWidth="1"/>
    <col min="5" max="6" width="9.33203125" customWidth="1"/>
    <col min="8" max="9" width="9.5546875" customWidth="1"/>
    <col min="10" max="10" width="15.6640625" customWidth="1"/>
    <col min="11" max="11" width="15.5546875" customWidth="1"/>
    <col min="12" max="12" width="16" customWidth="1"/>
    <col min="13" max="13" width="14.5546875" customWidth="1"/>
    <col min="14" max="14" width="12.88671875" customWidth="1"/>
    <col min="15" max="15" width="13.88671875" customWidth="1"/>
    <col min="16" max="16" width="13.6640625" customWidth="1"/>
    <col min="17" max="17" width="13.44140625" customWidth="1"/>
    <col min="18" max="18" width="12.5546875" customWidth="1"/>
    <col min="20" max="20" width="13.33203125" customWidth="1"/>
    <col min="21" max="21" width="9.88671875" hidden="1" customWidth="1"/>
    <col min="22" max="22" width="10.33203125" hidden="1" customWidth="1"/>
    <col min="23" max="23" width="0" hidden="1" customWidth="1"/>
    <col min="24" max="24" width="11.109375" hidden="1" customWidth="1"/>
    <col min="25" max="25" width="9" hidden="1" customWidth="1"/>
    <col min="26" max="26" width="9.33203125" hidden="1" customWidth="1"/>
    <col min="36" max="38" width="0" hidden="1" customWidth="1"/>
    <col min="39" max="39" width="10.5546875" bestFit="1" customWidth="1"/>
    <col min="40" max="40" width="11.5546875" bestFit="1" customWidth="1"/>
    <col min="41" max="41" width="11.33203125" bestFit="1" customWidth="1"/>
  </cols>
  <sheetData>
    <row r="1" spans="1:42" x14ac:dyDescent="0.3">
      <c r="A1" t="s">
        <v>0</v>
      </c>
      <c r="B1" t="s">
        <v>11</v>
      </c>
      <c r="C1" t="s">
        <v>6</v>
      </c>
      <c r="D1" t="s">
        <v>7</v>
      </c>
      <c r="E1" t="s">
        <v>9</v>
      </c>
      <c r="F1" t="s">
        <v>8</v>
      </c>
      <c r="G1" t="s">
        <v>10</v>
      </c>
      <c r="H1" t="s">
        <v>26</v>
      </c>
      <c r="I1" t="s">
        <v>167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35</v>
      </c>
      <c r="R1" t="s">
        <v>34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AB1" t="s">
        <v>24</v>
      </c>
    </row>
    <row r="2" spans="1:42" x14ac:dyDescent="0.3">
      <c r="A2" s="1">
        <v>11111</v>
      </c>
      <c r="B2" s="1">
        <v>75</v>
      </c>
      <c r="C2" s="1" t="s">
        <v>12</v>
      </c>
      <c r="D2" s="1" t="s">
        <v>13</v>
      </c>
      <c r="E2" s="1" t="s">
        <v>15</v>
      </c>
      <c r="F2" s="1" t="s">
        <v>14</v>
      </c>
      <c r="G2" s="1" t="s">
        <v>16</v>
      </c>
      <c r="H2" s="1">
        <v>0.04</v>
      </c>
      <c r="I2" s="28">
        <f>Table3[[#This Row],[sedentarismo2]]*100</f>
        <v>4</v>
      </c>
      <c r="J2" s="1">
        <v>6.9633090595538798</v>
      </c>
      <c r="K2" s="1">
        <v>12.1590354015269</v>
      </c>
      <c r="L2" s="1">
        <v>-3.0729748786329898</v>
      </c>
      <c r="M2" s="1">
        <v>4.42891564728059</v>
      </c>
      <c r="N2" s="1">
        <v>5.4011666792875097</v>
      </c>
      <c r="O2" s="1">
        <v>3.6792996726757101</v>
      </c>
      <c r="P2" s="28">
        <v>4.3948023549232103</v>
      </c>
      <c r="Q2" s="28">
        <v>3.0790492987424001</v>
      </c>
      <c r="R2" s="28">
        <v>6.2879308949180102</v>
      </c>
      <c r="S2" s="1">
        <v>0.81859224392234897</v>
      </c>
      <c r="T2" s="1">
        <v>0.43925178740096998</v>
      </c>
      <c r="U2" s="1">
        <v>0.92899698306548495</v>
      </c>
      <c r="V2" s="1">
        <v>-3.4113292357374397E-2</v>
      </c>
      <c r="W2" s="1">
        <v>-1.85494737916573</v>
      </c>
      <c r="X2" s="1">
        <v>1.78672079445098</v>
      </c>
      <c r="Y2" s="1">
        <v>1</v>
      </c>
      <c r="AB2" t="s">
        <v>0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26</v>
      </c>
      <c r="AI2" t="s">
        <v>11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42</v>
      </c>
    </row>
    <row r="3" spans="1:42" x14ac:dyDescent="0.3">
      <c r="A3" s="1">
        <v>12111</v>
      </c>
      <c r="B3" s="1">
        <v>81</v>
      </c>
      <c r="C3" s="1" t="s">
        <v>12</v>
      </c>
      <c r="D3" s="1" t="s">
        <v>21</v>
      </c>
      <c r="E3" s="1" t="s">
        <v>15</v>
      </c>
      <c r="F3" s="1" t="s">
        <v>14</v>
      </c>
      <c r="G3" s="1" t="s">
        <v>16</v>
      </c>
      <c r="H3" s="1">
        <v>4.9382716049382699E-2</v>
      </c>
      <c r="I3" s="28">
        <f>Table3[[#This Row],[sedentarismo2]]*100</f>
        <v>4.9382716049382696</v>
      </c>
      <c r="J3" s="1">
        <v>7.3937393591909801</v>
      </c>
      <c r="K3" s="1">
        <v>12.1590354015269</v>
      </c>
      <c r="L3" s="1">
        <v>-3.0243530959017701</v>
      </c>
      <c r="M3" s="1">
        <v>4.6591099851579001</v>
      </c>
      <c r="N3" s="1">
        <v>5.5928947402051401</v>
      </c>
      <c r="O3" s="1">
        <v>3.8215099904382601</v>
      </c>
      <c r="P3" s="28">
        <v>4.6605319118195103</v>
      </c>
      <c r="Q3" s="28">
        <v>3.2469437321692798</v>
      </c>
      <c r="R3" s="28">
        <v>6.5388855628519096</v>
      </c>
      <c r="S3" s="1">
        <v>0.83978107925577306</v>
      </c>
      <c r="T3" s="1">
        <v>0.45188386473644798</v>
      </c>
      <c r="U3" s="1">
        <v>0.95364106889601796</v>
      </c>
      <c r="V3" s="1">
        <v>1.4219266616084501E-3</v>
      </c>
      <c r="W3" s="1">
        <v>-1.8677145683745899</v>
      </c>
      <c r="X3" s="1">
        <v>1.8705584216978</v>
      </c>
      <c r="Y3" s="1">
        <v>2</v>
      </c>
      <c r="AB3" s="1">
        <v>11111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>
        <v>0.04</v>
      </c>
      <c r="AI3">
        <v>75</v>
      </c>
      <c r="AJ3">
        <v>4.42891564728059</v>
      </c>
      <c r="AK3">
        <v>5.4011666792875097</v>
      </c>
      <c r="AL3">
        <v>3.6792996726757101</v>
      </c>
      <c r="AM3" s="45">
        <v>4.3948023549232103</v>
      </c>
      <c r="AN3" s="45">
        <v>6.2879308949180102</v>
      </c>
      <c r="AO3" s="45">
        <v>3.0790492987424001</v>
      </c>
      <c r="AP3">
        <v>1</v>
      </c>
    </row>
    <row r="4" spans="1:42" x14ac:dyDescent="0.3">
      <c r="A4" s="1">
        <v>11121</v>
      </c>
      <c r="B4" s="1">
        <v>151</v>
      </c>
      <c r="C4" s="1" t="s">
        <v>12</v>
      </c>
      <c r="D4" s="1" t="s">
        <v>13</v>
      </c>
      <c r="E4" s="1" t="s">
        <v>15</v>
      </c>
      <c r="F4" s="1" t="s">
        <v>18</v>
      </c>
      <c r="G4" s="1" t="s">
        <v>16</v>
      </c>
      <c r="H4" s="1">
        <v>2.6490066225165601E-2</v>
      </c>
      <c r="I4" s="28">
        <f>Table3[[#This Row],[sedentarismo2]]*100</f>
        <v>2.64900662251656</v>
      </c>
      <c r="J4" s="1">
        <v>4.9758602213754104</v>
      </c>
      <c r="K4" s="1">
        <v>12.1590354015269</v>
      </c>
      <c r="L4" s="1">
        <v>-2.7814130358161302</v>
      </c>
      <c r="M4" s="1">
        <v>5.8467130648266501</v>
      </c>
      <c r="N4" s="1">
        <v>6.9278849116409997</v>
      </c>
      <c r="O4" s="1">
        <v>4.9614484364900697</v>
      </c>
      <c r="P4" s="28">
        <v>5.2448626718628999</v>
      </c>
      <c r="Q4" s="28">
        <v>3.6908498038225299</v>
      </c>
      <c r="R4" s="28">
        <v>7.2622988466452396</v>
      </c>
      <c r="S4" s="1">
        <v>0.91108393949558897</v>
      </c>
      <c r="T4" s="1">
        <v>0.501641957946666</v>
      </c>
      <c r="U4" s="1">
        <v>1.04005701708097</v>
      </c>
      <c r="V4" s="1">
        <v>-0.60185039296375198</v>
      </c>
      <c r="W4" s="1">
        <v>-2.6403621464424498</v>
      </c>
      <c r="X4" s="1">
        <v>1.4366613605149501</v>
      </c>
      <c r="Y4" s="1">
        <v>3</v>
      </c>
      <c r="AB4" s="1">
        <v>12111</v>
      </c>
      <c r="AC4" t="s">
        <v>12</v>
      </c>
      <c r="AD4" t="s">
        <v>21</v>
      </c>
      <c r="AE4" t="s">
        <v>14</v>
      </c>
      <c r="AF4" t="s">
        <v>15</v>
      </c>
      <c r="AG4" t="s">
        <v>16</v>
      </c>
      <c r="AH4">
        <v>4.9382716049382699E-2</v>
      </c>
      <c r="AI4">
        <v>81</v>
      </c>
      <c r="AJ4">
        <v>4.6591099851579001</v>
      </c>
      <c r="AK4">
        <v>5.5928947402051401</v>
      </c>
      <c r="AL4">
        <v>3.8215099904382601</v>
      </c>
      <c r="AM4" s="45">
        <v>4.6605319118195103</v>
      </c>
      <c r="AN4" s="45">
        <v>6.5388855628519096</v>
      </c>
      <c r="AO4" s="45">
        <v>3.2469437321692798</v>
      </c>
      <c r="AP4">
        <v>2</v>
      </c>
    </row>
    <row r="5" spans="1:42" x14ac:dyDescent="0.3">
      <c r="A5" s="1">
        <v>12112</v>
      </c>
      <c r="B5" s="1">
        <v>191</v>
      </c>
      <c r="C5" s="1" t="s">
        <v>12</v>
      </c>
      <c r="D5" s="1" t="s">
        <v>21</v>
      </c>
      <c r="E5" s="1" t="s">
        <v>15</v>
      </c>
      <c r="F5" s="1" t="s">
        <v>14</v>
      </c>
      <c r="G5" s="1" t="s">
        <v>17</v>
      </c>
      <c r="H5" s="1">
        <v>5.7591623036649199E-2</v>
      </c>
      <c r="I5" s="28">
        <f>Table3[[#This Row],[sedentarismo2]]*100</f>
        <v>5.7591623036649198</v>
      </c>
      <c r="J5" s="1">
        <v>6.9319458847874804</v>
      </c>
      <c r="K5" s="1">
        <v>12.1590354015269</v>
      </c>
      <c r="L5" s="1">
        <v>-2.74767740201019</v>
      </c>
      <c r="M5" s="1">
        <v>6.04237643585006</v>
      </c>
      <c r="N5" s="1">
        <v>7.2217565731241198</v>
      </c>
      <c r="O5" s="1">
        <v>5.0717177351993001</v>
      </c>
      <c r="P5" s="28">
        <v>5.9543551884185</v>
      </c>
      <c r="Q5" s="28">
        <v>4.3816060108922699</v>
      </c>
      <c r="R5" s="28">
        <v>8.0923805661354198</v>
      </c>
      <c r="S5" s="1">
        <v>0.94662616205182204</v>
      </c>
      <c r="T5" s="1">
        <v>0.54847929538898599</v>
      </c>
      <c r="U5" s="1">
        <v>1.09404324784323</v>
      </c>
      <c r="V5" s="1">
        <v>-8.8021247431564503E-2</v>
      </c>
      <c r="W5" s="1">
        <v>-2.2323460132042898</v>
      </c>
      <c r="X5" s="1">
        <v>2.05630351834116</v>
      </c>
      <c r="Y5" s="1">
        <v>4</v>
      </c>
      <c r="AB5" s="1">
        <v>11121</v>
      </c>
      <c r="AC5" t="s">
        <v>12</v>
      </c>
      <c r="AD5" t="s">
        <v>13</v>
      </c>
      <c r="AE5" t="s">
        <v>18</v>
      </c>
      <c r="AF5" t="s">
        <v>15</v>
      </c>
      <c r="AG5" t="s">
        <v>16</v>
      </c>
      <c r="AH5">
        <v>2.6490066225165601E-2</v>
      </c>
      <c r="AI5">
        <v>151</v>
      </c>
      <c r="AJ5">
        <v>5.8467130648266501</v>
      </c>
      <c r="AK5">
        <v>6.9278849116409997</v>
      </c>
      <c r="AL5">
        <v>4.9614484364900697</v>
      </c>
      <c r="AM5" s="45">
        <v>5.2448626718628999</v>
      </c>
      <c r="AN5" s="45">
        <v>7.2622988466452396</v>
      </c>
      <c r="AO5" s="45">
        <v>3.6908498038225299</v>
      </c>
      <c r="AP5">
        <v>3</v>
      </c>
    </row>
    <row r="6" spans="1:42" x14ac:dyDescent="0.3">
      <c r="A6" s="1">
        <v>12131</v>
      </c>
      <c r="B6" s="1">
        <v>251</v>
      </c>
      <c r="C6" s="1" t="s">
        <v>12</v>
      </c>
      <c r="D6" s="1" t="s">
        <v>21</v>
      </c>
      <c r="E6" s="1" t="s">
        <v>15</v>
      </c>
      <c r="F6" s="1" t="s">
        <v>19</v>
      </c>
      <c r="G6" s="1" t="s">
        <v>16</v>
      </c>
      <c r="H6" s="1">
        <v>6.3745019920318696E-2</v>
      </c>
      <c r="I6" s="28">
        <f>Table3[[#This Row],[sedentarismo2]]*100</f>
        <v>6.3745019920318695</v>
      </c>
      <c r="J6" s="1">
        <v>7.2067054126701704</v>
      </c>
      <c r="K6" s="1">
        <v>12.1590354015269</v>
      </c>
      <c r="L6" s="1">
        <v>-2.7164376662916401</v>
      </c>
      <c r="M6" s="1">
        <v>6.2285222102030602</v>
      </c>
      <c r="N6" s="1">
        <v>7.2527579039467902</v>
      </c>
      <c r="O6" s="1">
        <v>5.2755932874915104</v>
      </c>
      <c r="P6" s="28">
        <v>6.2708159128190104</v>
      </c>
      <c r="Q6" s="28">
        <v>4.5498262836387102</v>
      </c>
      <c r="R6" s="28">
        <v>8.3049287466320401</v>
      </c>
      <c r="S6" s="1">
        <v>0.95793430178401295</v>
      </c>
      <c r="T6" s="1">
        <v>0.50437872868757105</v>
      </c>
      <c r="U6" s="1">
        <v>1.08260612804792</v>
      </c>
      <c r="V6" s="1">
        <v>4.2293702615953797E-2</v>
      </c>
      <c r="W6" s="1">
        <v>-2.0796143083579799</v>
      </c>
      <c r="X6" s="1">
        <v>2.1642017135898799</v>
      </c>
      <c r="Y6" s="1">
        <v>5</v>
      </c>
      <c r="AB6" s="1">
        <v>12112</v>
      </c>
      <c r="AC6" t="s">
        <v>12</v>
      </c>
      <c r="AD6" t="s">
        <v>21</v>
      </c>
      <c r="AE6" t="s">
        <v>14</v>
      </c>
      <c r="AF6" t="s">
        <v>15</v>
      </c>
      <c r="AG6" t="s">
        <v>17</v>
      </c>
      <c r="AH6">
        <v>5.7591623036649199E-2</v>
      </c>
      <c r="AI6">
        <v>191</v>
      </c>
      <c r="AJ6">
        <v>6.04237643585006</v>
      </c>
      <c r="AK6">
        <v>7.2217565731241198</v>
      </c>
      <c r="AL6">
        <v>5.0717177351993001</v>
      </c>
      <c r="AM6" s="45">
        <v>5.9543551884185</v>
      </c>
      <c r="AN6" s="45">
        <v>8.0923805661354198</v>
      </c>
      <c r="AO6" s="45">
        <v>4.3816060108922699</v>
      </c>
      <c r="AP6">
        <v>4</v>
      </c>
    </row>
    <row r="7" spans="1:42" x14ac:dyDescent="0.3">
      <c r="A7">
        <v>12121</v>
      </c>
      <c r="B7">
        <v>137</v>
      </c>
      <c r="C7" t="s">
        <v>12</v>
      </c>
      <c r="D7" t="s">
        <v>21</v>
      </c>
      <c r="E7" t="s">
        <v>15</v>
      </c>
      <c r="F7" t="s">
        <v>18</v>
      </c>
      <c r="G7" t="s">
        <v>16</v>
      </c>
      <c r="H7">
        <v>8.0291970802919693E-2</v>
      </c>
      <c r="I7" s="29">
        <f>Table3[[#This Row],[sedentarismo2]]*100</f>
        <v>8.0291970802919685</v>
      </c>
      <c r="J7">
        <v>8.9366219588293792</v>
      </c>
      <c r="K7">
        <v>12.1590354015269</v>
      </c>
      <c r="L7">
        <v>-2.7327912530849199</v>
      </c>
      <c r="M7">
        <v>6.1154126364541197</v>
      </c>
      <c r="N7">
        <v>7.2497682335461899</v>
      </c>
      <c r="O7">
        <v>5.1111308871738999</v>
      </c>
      <c r="P7" s="29">
        <v>6.3338383836364898</v>
      </c>
      <c r="Q7" s="29">
        <v>4.6188173522968103</v>
      </c>
      <c r="R7" s="29">
        <v>8.8108069553503192</v>
      </c>
      <c r="S7">
        <v>1.0693851028197701</v>
      </c>
      <c r="T7">
        <v>0.54557075162558599</v>
      </c>
      <c r="U7">
        <v>1.20051319991167</v>
      </c>
      <c r="V7">
        <v>0.21842574718237401</v>
      </c>
      <c r="W7">
        <v>-2.13458012464451</v>
      </c>
      <c r="X7">
        <v>2.5714316190092501</v>
      </c>
      <c r="Y7">
        <v>6</v>
      </c>
      <c r="AB7" s="1">
        <v>12131</v>
      </c>
      <c r="AC7" t="s">
        <v>12</v>
      </c>
      <c r="AD7" t="s">
        <v>21</v>
      </c>
      <c r="AE7" t="s">
        <v>19</v>
      </c>
      <c r="AF7" t="s">
        <v>15</v>
      </c>
      <c r="AG7" t="s">
        <v>16</v>
      </c>
      <c r="AH7">
        <v>6.3745019920318696E-2</v>
      </c>
      <c r="AI7">
        <v>251</v>
      </c>
      <c r="AJ7">
        <v>6.2285222102030602</v>
      </c>
      <c r="AK7">
        <v>7.2527579039467902</v>
      </c>
      <c r="AL7">
        <v>5.2755932874915104</v>
      </c>
      <c r="AM7" s="45">
        <v>6.2708159128190104</v>
      </c>
      <c r="AN7" s="45">
        <v>8.3049287466320401</v>
      </c>
      <c r="AO7" s="45">
        <v>4.5498262836387102</v>
      </c>
      <c r="AP7">
        <v>5</v>
      </c>
    </row>
    <row r="8" spans="1:42" x14ac:dyDescent="0.3">
      <c r="A8">
        <v>11112</v>
      </c>
      <c r="B8">
        <v>263</v>
      </c>
      <c r="C8" t="s">
        <v>12</v>
      </c>
      <c r="D8" t="s">
        <v>13</v>
      </c>
      <c r="E8" t="s">
        <v>15</v>
      </c>
      <c r="F8" t="s">
        <v>14</v>
      </c>
      <c r="G8" t="s">
        <v>17</v>
      </c>
      <c r="H8">
        <v>7.9847908745247206E-2</v>
      </c>
      <c r="I8" s="29">
        <f>Table3[[#This Row],[sedentarismo2]]*100</f>
        <v>7.9847908745247205</v>
      </c>
      <c r="J8">
        <v>8.5279619473403905</v>
      </c>
      <c r="K8">
        <v>12.1590354015269</v>
      </c>
      <c r="L8">
        <v>-2.7962991847413998</v>
      </c>
      <c r="M8">
        <v>5.7356605148687798</v>
      </c>
      <c r="N8">
        <v>6.91044737260333</v>
      </c>
      <c r="O8">
        <v>4.8577944827163</v>
      </c>
      <c r="P8" s="29">
        <v>6.4898289866617</v>
      </c>
      <c r="Q8" s="29">
        <v>4.6678759333899098</v>
      </c>
      <c r="R8" s="29">
        <v>8.5568571144555605</v>
      </c>
      <c r="S8">
        <v>0.99208703598613501</v>
      </c>
      <c r="T8">
        <v>0.52363594129771096</v>
      </c>
      <c r="U8">
        <v>1.1217982376481499</v>
      </c>
      <c r="V8">
        <v>0.75416847179292301</v>
      </c>
      <c r="W8">
        <v>-1.4445560739974499</v>
      </c>
      <c r="X8">
        <v>2.9528930175833001</v>
      </c>
      <c r="Y8">
        <v>7</v>
      </c>
    </row>
    <row r="9" spans="1:42" x14ac:dyDescent="0.3">
      <c r="A9">
        <v>11131</v>
      </c>
      <c r="B9">
        <v>268</v>
      </c>
      <c r="C9" t="s">
        <v>12</v>
      </c>
      <c r="D9" t="s">
        <v>13</v>
      </c>
      <c r="E9" t="s">
        <v>15</v>
      </c>
      <c r="F9" t="s">
        <v>19</v>
      </c>
      <c r="G9" t="s">
        <v>16</v>
      </c>
      <c r="H9">
        <v>8.2089552238805999E-2</v>
      </c>
      <c r="I9" s="29">
        <f>Table3[[#This Row],[sedentarismo2]]*100</f>
        <v>8.2089552238806007</v>
      </c>
      <c r="J9">
        <v>8.7107008609418806</v>
      </c>
      <c r="K9">
        <v>12.1590354015269</v>
      </c>
      <c r="L9">
        <v>-2.7650594490228499</v>
      </c>
      <c r="M9">
        <v>5.9440526324727099</v>
      </c>
      <c r="N9">
        <v>7.0211439308176997</v>
      </c>
      <c r="O9">
        <v>5.0775490528240201</v>
      </c>
      <c r="P9" s="29">
        <v>6.6296564240080098</v>
      </c>
      <c r="Q9" s="29">
        <v>4.9146103851837104</v>
      </c>
      <c r="R9" s="29">
        <v>9.1253515678154997</v>
      </c>
      <c r="S9">
        <v>1.07416866903872</v>
      </c>
      <c r="T9">
        <v>0.49581501989634502</v>
      </c>
      <c r="U9">
        <v>1.1830768628872901</v>
      </c>
      <c r="V9">
        <v>0.68560379153530104</v>
      </c>
      <c r="W9">
        <v>-1.63322685972379</v>
      </c>
      <c r="X9">
        <v>3.0044344427943899</v>
      </c>
      <c r="Y9">
        <v>8</v>
      </c>
      <c r="AB9" t="s">
        <v>25</v>
      </c>
    </row>
    <row r="10" spans="1:42" x14ac:dyDescent="0.3">
      <c r="A10">
        <v>13111</v>
      </c>
      <c r="B10">
        <v>62</v>
      </c>
      <c r="C10" t="s">
        <v>12</v>
      </c>
      <c r="D10" t="s">
        <v>22</v>
      </c>
      <c r="E10" t="s">
        <v>15</v>
      </c>
      <c r="F10" t="s">
        <v>14</v>
      </c>
      <c r="G10" t="s">
        <v>16</v>
      </c>
      <c r="H10">
        <v>3.2258064516128997E-2</v>
      </c>
      <c r="I10" s="29">
        <f>Table3[[#This Row],[sedentarismo2]]*100</f>
        <v>3.2258064516128995</v>
      </c>
      <c r="J10">
        <v>6.88305834556148</v>
      </c>
      <c r="K10">
        <v>12.1590354015269</v>
      </c>
      <c r="L10">
        <v>-2.57708309709006</v>
      </c>
      <c r="M10">
        <v>7.0610443542023296</v>
      </c>
      <c r="N10">
        <v>8.4601862317051104</v>
      </c>
      <c r="O10">
        <v>5.9263817822864402</v>
      </c>
      <c r="P10" s="29">
        <v>6.7303037205599603</v>
      </c>
      <c r="Q10" s="29">
        <v>4.8626925274357999</v>
      </c>
      <c r="R10" s="29">
        <v>9.4065096481583605</v>
      </c>
      <c r="S10">
        <v>1.15913702059249</v>
      </c>
      <c r="T10">
        <v>0.64637868607619098</v>
      </c>
      <c r="U10">
        <v>1.32717897750138</v>
      </c>
      <c r="V10">
        <v>-0.33074063364237499</v>
      </c>
      <c r="W10">
        <v>-2.9320114295450899</v>
      </c>
      <c r="X10">
        <v>2.2705301622603402</v>
      </c>
      <c r="Y10">
        <v>9</v>
      </c>
      <c r="AB10" t="s">
        <v>0</v>
      </c>
      <c r="AC10" t="s">
        <v>6</v>
      </c>
      <c r="AD10" t="s">
        <v>7</v>
      </c>
      <c r="AE10" t="s">
        <v>8</v>
      </c>
      <c r="AF10" t="s">
        <v>9</v>
      </c>
      <c r="AG10" t="s">
        <v>10</v>
      </c>
      <c r="AH10" t="s">
        <v>26</v>
      </c>
      <c r="AI10" t="s">
        <v>11</v>
      </c>
      <c r="AJ10" t="s">
        <v>30</v>
      </c>
      <c r="AK10" t="s">
        <v>31</v>
      </c>
      <c r="AL10" t="s">
        <v>32</v>
      </c>
      <c r="AM10" t="s">
        <v>33</v>
      </c>
      <c r="AN10" t="s">
        <v>34</v>
      </c>
      <c r="AO10" t="s">
        <v>35</v>
      </c>
      <c r="AP10" t="s">
        <v>42</v>
      </c>
    </row>
    <row r="11" spans="1:42" x14ac:dyDescent="0.3">
      <c r="A11">
        <v>11211</v>
      </c>
      <c r="B11">
        <v>168</v>
      </c>
      <c r="C11" t="s">
        <v>12</v>
      </c>
      <c r="D11" t="s">
        <v>13</v>
      </c>
      <c r="E11" t="s">
        <v>20</v>
      </c>
      <c r="F11" t="s">
        <v>14</v>
      </c>
      <c r="G11" t="s">
        <v>16</v>
      </c>
      <c r="H11">
        <v>9.5238095238095205E-2</v>
      </c>
      <c r="I11" s="29">
        <f>Table3[[#This Row],[sedentarismo2]]*100</f>
        <v>9.5238095238095202</v>
      </c>
      <c r="J11">
        <v>9.9972858785290502</v>
      </c>
      <c r="K11">
        <v>12.1590354015269</v>
      </c>
      <c r="L11">
        <v>-2.5931046795966601</v>
      </c>
      <c r="M11">
        <v>6.9802287727045398</v>
      </c>
      <c r="N11">
        <v>8.2683880196879596</v>
      </c>
      <c r="O11">
        <v>5.9337208829947503</v>
      </c>
      <c r="P11" s="29">
        <v>7.50547685894953</v>
      </c>
      <c r="Q11" s="29">
        <v>5.5115131909580803</v>
      </c>
      <c r="R11" s="29">
        <v>10.173241400972501</v>
      </c>
      <c r="S11">
        <v>1.1892163801057301</v>
      </c>
      <c r="T11">
        <v>0.595578351197245</v>
      </c>
      <c r="U11">
        <v>1.3300184852574799</v>
      </c>
      <c r="V11">
        <v>0.52524808624499597</v>
      </c>
      <c r="W11">
        <v>-2.08158814485967</v>
      </c>
      <c r="X11">
        <v>3.1320843173496602</v>
      </c>
      <c r="Y11">
        <v>10</v>
      </c>
      <c r="AB11" s="2">
        <v>23221</v>
      </c>
      <c r="AC11" t="s">
        <v>23</v>
      </c>
      <c r="AD11" t="s">
        <v>22</v>
      </c>
      <c r="AE11" t="s">
        <v>18</v>
      </c>
      <c r="AF11" t="s">
        <v>20</v>
      </c>
      <c r="AG11" t="s">
        <v>16</v>
      </c>
      <c r="AH11">
        <v>0.22929936305732501</v>
      </c>
      <c r="AI11">
        <v>157</v>
      </c>
      <c r="AJ11">
        <v>23.867140248126599</v>
      </c>
      <c r="AK11">
        <v>26.8313070918867</v>
      </c>
      <c r="AL11">
        <v>20.758025372540398</v>
      </c>
      <c r="AM11" s="45">
        <v>23.3837031842281</v>
      </c>
      <c r="AN11" s="45">
        <v>29.028276174437199</v>
      </c>
      <c r="AO11" s="45">
        <v>18.4252391722788</v>
      </c>
      <c r="AP11">
        <v>68</v>
      </c>
    </row>
    <row r="12" spans="1:42" x14ac:dyDescent="0.3">
      <c r="A12">
        <v>12211</v>
      </c>
      <c r="B12">
        <v>147</v>
      </c>
      <c r="C12" t="s">
        <v>12</v>
      </c>
      <c r="D12" t="s">
        <v>21</v>
      </c>
      <c r="E12" t="s">
        <v>20</v>
      </c>
      <c r="F12" t="s">
        <v>14</v>
      </c>
      <c r="G12" t="s">
        <v>16</v>
      </c>
      <c r="H12">
        <v>8.8435374149659907E-2</v>
      </c>
      <c r="I12" s="29">
        <f>Table3[[#This Row],[sedentarismo2]]*100</f>
        <v>8.84353741496599</v>
      </c>
      <c r="J12">
        <v>9.5183981213235</v>
      </c>
      <c r="K12">
        <v>12.1590354015269</v>
      </c>
      <c r="L12">
        <v>-2.5444828968654498</v>
      </c>
      <c r="M12">
        <v>7.2987851408640196</v>
      </c>
      <c r="N12">
        <v>8.6593874187114608</v>
      </c>
      <c r="O12">
        <v>6.14783094145489</v>
      </c>
      <c r="P12" s="29">
        <v>7.61905073763596</v>
      </c>
      <c r="Q12" s="29">
        <v>5.3919783387826099</v>
      </c>
      <c r="R12" s="29">
        <v>10.2926568038482</v>
      </c>
      <c r="S12">
        <v>1.2501730778228499</v>
      </c>
      <c r="T12">
        <v>0.64070318297361295</v>
      </c>
      <c r="U12">
        <v>1.40478941239802</v>
      </c>
      <c r="V12">
        <v>0.32026559677194499</v>
      </c>
      <c r="W12">
        <v>-2.4331216515281802</v>
      </c>
      <c r="X12">
        <v>3.0736528450720701</v>
      </c>
      <c r="Y12">
        <v>11</v>
      </c>
      <c r="AB12" s="2">
        <v>23122</v>
      </c>
      <c r="AC12" t="s">
        <v>23</v>
      </c>
      <c r="AD12" t="s">
        <v>22</v>
      </c>
      <c r="AE12" t="s">
        <v>18</v>
      </c>
      <c r="AF12" t="s">
        <v>15</v>
      </c>
      <c r="AG12" t="s">
        <v>17</v>
      </c>
      <c r="AH12">
        <v>0.276422764227642</v>
      </c>
      <c r="AI12">
        <v>246</v>
      </c>
      <c r="AJ12">
        <v>20.301604589325201</v>
      </c>
      <c r="AK12">
        <v>22.765363912550399</v>
      </c>
      <c r="AL12">
        <v>17.868963539910101</v>
      </c>
      <c r="AM12" s="45">
        <v>24.2255532699638</v>
      </c>
      <c r="AN12" s="45">
        <v>29.482716426416999</v>
      </c>
      <c r="AO12" s="45">
        <v>19.5494206474905</v>
      </c>
      <c r="AP12">
        <v>69</v>
      </c>
    </row>
    <row r="13" spans="1:42" x14ac:dyDescent="0.3">
      <c r="A13">
        <v>22111</v>
      </c>
      <c r="B13">
        <v>77</v>
      </c>
      <c r="C13" t="s">
        <v>23</v>
      </c>
      <c r="D13" t="s">
        <v>21</v>
      </c>
      <c r="E13" t="s">
        <v>15</v>
      </c>
      <c r="F13" t="s">
        <v>14</v>
      </c>
      <c r="G13" t="s">
        <v>16</v>
      </c>
      <c r="H13">
        <v>2.5974025974026E-2</v>
      </c>
      <c r="I13" s="29">
        <f>Table3[[#This Row],[sedentarismo2]]*100</f>
        <v>2.5974025974026</v>
      </c>
      <c r="J13">
        <v>6.1266479901339697</v>
      </c>
      <c r="K13">
        <v>12.1590354015269</v>
      </c>
      <c r="L13">
        <v>-2.37974980132029</v>
      </c>
      <c r="M13">
        <v>8.5104183315685091</v>
      </c>
      <c r="N13">
        <v>10.1785379415248</v>
      </c>
      <c r="O13">
        <v>7.0983450716512904</v>
      </c>
      <c r="P13" s="29">
        <v>7.6645798961193696</v>
      </c>
      <c r="Q13" s="29">
        <v>5.3464073186295202</v>
      </c>
      <c r="R13" s="29">
        <v>10.760805833405101</v>
      </c>
      <c r="S13">
        <v>1.3812241109121399</v>
      </c>
      <c r="T13">
        <v>0.78576348721262201</v>
      </c>
      <c r="U13">
        <v>1.58908914237106</v>
      </c>
      <c r="V13">
        <v>-0.84583843544913595</v>
      </c>
      <c r="W13">
        <v>-3.9604531544964101</v>
      </c>
      <c r="X13">
        <v>2.2687762835981302</v>
      </c>
      <c r="Y13">
        <v>12</v>
      </c>
      <c r="AB13" s="2">
        <v>23231</v>
      </c>
      <c r="AC13" t="s">
        <v>23</v>
      </c>
      <c r="AD13" t="s">
        <v>22</v>
      </c>
      <c r="AE13" t="s">
        <v>19</v>
      </c>
      <c r="AF13" t="s">
        <v>20</v>
      </c>
      <c r="AG13" t="s">
        <v>16</v>
      </c>
      <c r="AH13">
        <v>0.27710843373493999</v>
      </c>
      <c r="AI13">
        <v>249</v>
      </c>
      <c r="AJ13">
        <v>24.231906914242298</v>
      </c>
      <c r="AK13">
        <v>27.2099907893151</v>
      </c>
      <c r="AL13">
        <v>21.1750307373627</v>
      </c>
      <c r="AM13" s="45">
        <v>26.076964328873601</v>
      </c>
      <c r="AN13" s="45">
        <v>31.7484952096226</v>
      </c>
      <c r="AO13" s="45">
        <v>21.297945732926902</v>
      </c>
      <c r="AP13">
        <v>70</v>
      </c>
    </row>
    <row r="14" spans="1:42" x14ac:dyDescent="0.3">
      <c r="A14">
        <v>21111</v>
      </c>
      <c r="B14">
        <v>67</v>
      </c>
      <c r="C14" t="s">
        <v>23</v>
      </c>
      <c r="D14" t="s">
        <v>13</v>
      </c>
      <c r="E14" t="s">
        <v>15</v>
      </c>
      <c r="F14" t="s">
        <v>14</v>
      </c>
      <c r="G14" t="s">
        <v>16</v>
      </c>
      <c r="H14">
        <v>4.47761194029851E-2</v>
      </c>
      <c r="I14" s="29">
        <f>Table3[[#This Row],[sedentarismo2]]*100</f>
        <v>4.4776119402985097</v>
      </c>
      <c r="J14">
        <v>7.4230841385882398</v>
      </c>
      <c r="K14">
        <v>12.1590354015269</v>
      </c>
      <c r="L14">
        <v>-2.4283715840515101</v>
      </c>
      <c r="M14">
        <v>8.1270212886709103</v>
      </c>
      <c r="N14">
        <v>9.6289983479941395</v>
      </c>
      <c r="O14">
        <v>6.8491759323565899</v>
      </c>
      <c r="P14" s="29">
        <v>7.6858251657161896</v>
      </c>
      <c r="Q14" s="29">
        <v>5.4745692130650498</v>
      </c>
      <c r="R14" s="29">
        <v>10.865233527947099</v>
      </c>
      <c r="S14">
        <v>1.37516946808215</v>
      </c>
      <c r="T14">
        <v>0.70913837133610902</v>
      </c>
      <c r="U14">
        <v>1.5472453896026199</v>
      </c>
      <c r="V14">
        <v>-0.44119612295472299</v>
      </c>
      <c r="W14">
        <v>-3.4737970865758601</v>
      </c>
      <c r="X14">
        <v>2.5914048406664199</v>
      </c>
      <c r="Y14">
        <v>13</v>
      </c>
      <c r="AB14" s="2">
        <v>23222</v>
      </c>
      <c r="AC14" t="s">
        <v>23</v>
      </c>
      <c r="AD14" t="s">
        <v>22</v>
      </c>
      <c r="AE14" t="s">
        <v>18</v>
      </c>
      <c r="AF14" t="s">
        <v>20</v>
      </c>
      <c r="AG14" t="s">
        <v>17</v>
      </c>
      <c r="AH14">
        <v>0.321937321937322</v>
      </c>
      <c r="AI14">
        <v>351</v>
      </c>
      <c r="AJ14">
        <v>29.202256221519502</v>
      </c>
      <c r="AK14">
        <v>32.3398979863723</v>
      </c>
      <c r="AL14">
        <v>25.911587849766502</v>
      </c>
      <c r="AM14" s="45">
        <v>31.262096754752399</v>
      </c>
      <c r="AN14" s="45">
        <v>36.095992590823002</v>
      </c>
      <c r="AO14" s="45">
        <v>26.298132537779601</v>
      </c>
      <c r="AP14">
        <v>71</v>
      </c>
    </row>
    <row r="15" spans="1:42" x14ac:dyDescent="0.3">
      <c r="A15">
        <v>12122</v>
      </c>
      <c r="B15">
        <v>230</v>
      </c>
      <c r="C15" t="s">
        <v>12</v>
      </c>
      <c r="D15" t="s">
        <v>21</v>
      </c>
      <c r="E15" t="s">
        <v>15</v>
      </c>
      <c r="F15" t="s">
        <v>18</v>
      </c>
      <c r="G15" t="s">
        <v>17</v>
      </c>
      <c r="H15">
        <v>7.8260869565217397E-2</v>
      </c>
      <c r="I15" s="29">
        <f>Table3[[#This Row],[sedentarismo2]]*100</f>
        <v>7.8260869565217401</v>
      </c>
      <c r="J15">
        <v>8.4607751665498796</v>
      </c>
      <c r="K15">
        <v>12.1590354015269</v>
      </c>
      <c r="L15">
        <v>-2.4561155591933299</v>
      </c>
      <c r="M15">
        <v>7.9195077284303501</v>
      </c>
      <c r="N15">
        <v>9.3227528198696508</v>
      </c>
      <c r="O15">
        <v>6.6902601110509696</v>
      </c>
      <c r="P15" s="29">
        <v>7.8412026019208803</v>
      </c>
      <c r="Q15" s="29">
        <v>5.8691551625586804</v>
      </c>
      <c r="R15" s="29">
        <v>10.379450366012099</v>
      </c>
      <c r="S15">
        <v>1.15058551108507</v>
      </c>
      <c r="T15">
        <v>0.67155426245374406</v>
      </c>
      <c r="U15">
        <v>1.3322282633763201</v>
      </c>
      <c r="V15">
        <v>-7.8305126509468095E-2</v>
      </c>
      <c r="W15">
        <v>-2.68947252272705</v>
      </c>
      <c r="X15">
        <v>2.53286226970812</v>
      </c>
      <c r="Y15">
        <v>14</v>
      </c>
      <c r="AB15" s="2">
        <v>23232</v>
      </c>
      <c r="AC15" t="s">
        <v>23</v>
      </c>
      <c r="AD15" t="s">
        <v>22</v>
      </c>
      <c r="AE15" t="s">
        <v>19</v>
      </c>
      <c r="AF15" t="s">
        <v>20</v>
      </c>
      <c r="AG15" t="s">
        <v>17</v>
      </c>
      <c r="AH15">
        <v>0.32405566600397601</v>
      </c>
      <c r="AI15">
        <v>503</v>
      </c>
      <c r="AJ15">
        <v>29.5864840964439</v>
      </c>
      <c r="AK15">
        <v>32.803926730313599</v>
      </c>
      <c r="AL15">
        <v>26.426260159443</v>
      </c>
      <c r="AM15" s="45">
        <v>31.716860302513499</v>
      </c>
      <c r="AN15" s="45">
        <v>36.565044986827303</v>
      </c>
      <c r="AO15" s="45">
        <v>27.311141441408498</v>
      </c>
      <c r="AP15">
        <v>72</v>
      </c>
    </row>
    <row r="16" spans="1:42" x14ac:dyDescent="0.3">
      <c r="A16">
        <v>12132</v>
      </c>
      <c r="B16">
        <v>494</v>
      </c>
      <c r="C16" t="s">
        <v>12</v>
      </c>
      <c r="D16" t="s">
        <v>21</v>
      </c>
      <c r="E16" t="s">
        <v>15</v>
      </c>
      <c r="F16" t="s">
        <v>19</v>
      </c>
      <c r="G16" t="s">
        <v>17</v>
      </c>
      <c r="H16">
        <v>8.0971659919028299E-2</v>
      </c>
      <c r="I16" s="29">
        <f>Table3[[#This Row],[sedentarismo2]]*100</f>
        <v>8.0971659919028305</v>
      </c>
      <c r="J16">
        <v>8.3985653610848097</v>
      </c>
      <c r="K16">
        <v>12.1590354015269</v>
      </c>
      <c r="L16">
        <v>-2.4397619724000501</v>
      </c>
      <c r="M16">
        <v>8.0318344399353894</v>
      </c>
      <c r="N16">
        <v>9.3179274686845499</v>
      </c>
      <c r="O16">
        <v>6.9900578245045297</v>
      </c>
      <c r="P16" s="29">
        <v>8.0464684132235007</v>
      </c>
      <c r="Q16" s="29">
        <v>6.1922846105188203</v>
      </c>
      <c r="R16" s="29">
        <v>10.255263744314201</v>
      </c>
      <c r="S16">
        <v>1.0364742688253601</v>
      </c>
      <c r="T16">
        <v>0.59384429698469998</v>
      </c>
      <c r="U16">
        <v>1.1945417359800801</v>
      </c>
      <c r="V16">
        <v>1.4633973288113101E-2</v>
      </c>
      <c r="W16">
        <v>-2.32666782923285</v>
      </c>
      <c r="X16">
        <v>2.35593577580907</v>
      </c>
      <c r="Y16">
        <v>15</v>
      </c>
    </row>
    <row r="17" spans="1:25" x14ac:dyDescent="0.3">
      <c r="A17">
        <v>11132</v>
      </c>
      <c r="B17">
        <v>541</v>
      </c>
      <c r="C17" t="s">
        <v>12</v>
      </c>
      <c r="D17" t="s">
        <v>13</v>
      </c>
      <c r="E17" t="s">
        <v>15</v>
      </c>
      <c r="F17" t="s">
        <v>19</v>
      </c>
      <c r="G17" t="s">
        <v>17</v>
      </c>
      <c r="H17">
        <v>8.6876155268022198E-2</v>
      </c>
      <c r="I17" s="29">
        <f>Table3[[#This Row],[sedentarismo2]]*100</f>
        <v>8.6876155268022206</v>
      </c>
      <c r="J17">
        <v>8.9188660646908993</v>
      </c>
      <c r="K17">
        <v>12.1590354015269</v>
      </c>
      <c r="L17">
        <v>-2.4883837551312702</v>
      </c>
      <c r="M17">
        <v>7.6872540968644296</v>
      </c>
      <c r="N17">
        <v>9.0250118634331002</v>
      </c>
      <c r="O17">
        <v>6.6244495852426404</v>
      </c>
      <c r="P17" s="29">
        <v>8.1931652813888398</v>
      </c>
      <c r="Q17" s="29">
        <v>6.4041968630764101</v>
      </c>
      <c r="R17" s="29">
        <v>10.598906233207501</v>
      </c>
      <c r="S17">
        <v>1.0700789209518</v>
      </c>
      <c r="T17">
        <v>0.61238833627307698</v>
      </c>
      <c r="U17">
        <v>1.2329186394359799</v>
      </c>
      <c r="V17">
        <v>0.50591118452440798</v>
      </c>
      <c r="W17">
        <v>-1.9106093487701099</v>
      </c>
      <c r="X17">
        <v>2.9224317178189301</v>
      </c>
      <c r="Y17">
        <v>16</v>
      </c>
    </row>
    <row r="18" spans="1:25" x14ac:dyDescent="0.3">
      <c r="A18">
        <v>11122</v>
      </c>
      <c r="B18">
        <v>267</v>
      </c>
      <c r="C18" t="s">
        <v>12</v>
      </c>
      <c r="D18" t="s">
        <v>13</v>
      </c>
      <c r="E18" t="s">
        <v>15</v>
      </c>
      <c r="F18" t="s">
        <v>18</v>
      </c>
      <c r="G18" t="s">
        <v>17</v>
      </c>
      <c r="H18">
        <v>0.101123595505618</v>
      </c>
      <c r="I18" s="29">
        <f>Table3[[#This Row],[sedentarismo2]]*100</f>
        <v>10.1123595505618</v>
      </c>
      <c r="J18">
        <v>10.3570024069169</v>
      </c>
      <c r="K18">
        <v>12.1590354015269</v>
      </c>
      <c r="L18">
        <v>-2.50473734192455</v>
      </c>
      <c r="M18">
        <v>7.5382188849252998</v>
      </c>
      <c r="N18">
        <v>8.7771247549876001</v>
      </c>
      <c r="O18">
        <v>6.4389293778116503</v>
      </c>
      <c r="P18" s="29">
        <v>8.3228690054973598</v>
      </c>
      <c r="Q18" s="29">
        <v>6.3535697055454898</v>
      </c>
      <c r="R18" s="29">
        <v>10.9980072868722</v>
      </c>
      <c r="S18">
        <v>1.1848055054405</v>
      </c>
      <c r="T18">
        <v>0.59647841254488398</v>
      </c>
      <c r="U18">
        <v>1.3264805246795699</v>
      </c>
      <c r="V18">
        <v>0.78465012057205497</v>
      </c>
      <c r="W18">
        <v>-1.8152517077999</v>
      </c>
      <c r="X18">
        <v>3.3845519489440101</v>
      </c>
      <c r="Y18">
        <v>17</v>
      </c>
    </row>
    <row r="19" spans="1:25" x14ac:dyDescent="0.3">
      <c r="A19">
        <v>13131</v>
      </c>
      <c r="B19">
        <v>225</v>
      </c>
      <c r="C19" t="s">
        <v>12</v>
      </c>
      <c r="D19" t="s">
        <v>22</v>
      </c>
      <c r="E19" t="s">
        <v>15</v>
      </c>
      <c r="F19" t="s">
        <v>19</v>
      </c>
      <c r="G19" t="s">
        <v>16</v>
      </c>
      <c r="H19">
        <v>6.6666666666666693E-2</v>
      </c>
      <c r="I19" s="29">
        <f>Table3[[#This Row],[sedentarismo2]]*100</f>
        <v>6.6666666666666696</v>
      </c>
      <c r="J19">
        <v>7.5210092411826004</v>
      </c>
      <c r="K19">
        <v>12.1590354015269</v>
      </c>
      <c r="L19">
        <v>-2.2691676674799202</v>
      </c>
      <c r="M19">
        <v>9.3664876925665794</v>
      </c>
      <c r="N19">
        <v>10.869390526550999</v>
      </c>
      <c r="O19">
        <v>8.0406184109237504</v>
      </c>
      <c r="P19" s="29">
        <v>8.4035574211936304</v>
      </c>
      <c r="Q19" s="29">
        <v>6.4948246040623303</v>
      </c>
      <c r="R19" s="29">
        <v>11.069919595773399</v>
      </c>
      <c r="S19">
        <v>1.1671160693140501</v>
      </c>
      <c r="T19">
        <v>0.72162553970082699</v>
      </c>
      <c r="U19">
        <v>1.37218925035856</v>
      </c>
      <c r="V19">
        <v>-0.96293027137294596</v>
      </c>
      <c r="W19">
        <v>-3.6524212020757201</v>
      </c>
      <c r="X19">
        <v>1.7265606593298299</v>
      </c>
      <c r="Y19">
        <v>18</v>
      </c>
    </row>
    <row r="20" spans="1:25" x14ac:dyDescent="0.3">
      <c r="A20">
        <v>11221</v>
      </c>
      <c r="B20">
        <v>222</v>
      </c>
      <c r="C20" t="s">
        <v>12</v>
      </c>
      <c r="D20" t="s">
        <v>13</v>
      </c>
      <c r="E20" t="s">
        <v>20</v>
      </c>
      <c r="F20" t="s">
        <v>18</v>
      </c>
      <c r="G20" t="s">
        <v>16</v>
      </c>
      <c r="H20">
        <v>8.1081081081081099E-2</v>
      </c>
      <c r="I20" s="29">
        <f>Table3[[#This Row],[sedentarismo2]]*100</f>
        <v>8.1081081081081106</v>
      </c>
      <c r="J20">
        <v>8.7132891766044196</v>
      </c>
      <c r="K20">
        <v>12.1590354015269</v>
      </c>
      <c r="L20">
        <v>-2.3015428367798001</v>
      </c>
      <c r="M20">
        <v>9.1036817398601606</v>
      </c>
      <c r="N20">
        <v>10.51006259667</v>
      </c>
      <c r="O20">
        <v>7.7808982862016496</v>
      </c>
      <c r="P20" s="29">
        <v>8.7814571136506796</v>
      </c>
      <c r="Q20" s="29">
        <v>6.5895520957236204</v>
      </c>
      <c r="R20" s="29">
        <v>11.802730062655799</v>
      </c>
      <c r="S20">
        <v>1.3298923385031101</v>
      </c>
      <c r="T20">
        <v>0.69621538532355498</v>
      </c>
      <c r="U20">
        <v>1.5011094213182801</v>
      </c>
      <c r="V20">
        <v>-0.322224626209486</v>
      </c>
      <c r="W20">
        <v>-3.2643990919933201</v>
      </c>
      <c r="X20">
        <v>2.6199498395743399</v>
      </c>
      <c r="Y20">
        <v>19</v>
      </c>
    </row>
    <row r="21" spans="1:25" x14ac:dyDescent="0.3">
      <c r="A21">
        <v>11212</v>
      </c>
      <c r="B21">
        <v>350</v>
      </c>
      <c r="C21" t="s">
        <v>12</v>
      </c>
      <c r="D21" t="s">
        <v>13</v>
      </c>
      <c r="E21" t="s">
        <v>20</v>
      </c>
      <c r="F21" t="s">
        <v>14</v>
      </c>
      <c r="G21" t="s">
        <v>17</v>
      </c>
      <c r="H21">
        <v>8.5714285714285701E-2</v>
      </c>
      <c r="I21" s="29">
        <f>Table3[[#This Row],[sedentarismo2]]*100</f>
        <v>8.5714285714285694</v>
      </c>
      <c r="J21">
        <v>8.9277472911333007</v>
      </c>
      <c r="K21">
        <v>12.1590354015269</v>
      </c>
      <c r="L21">
        <v>-2.3164289857050799</v>
      </c>
      <c r="M21">
        <v>8.9731783648543093</v>
      </c>
      <c r="N21">
        <v>10.521161508480899</v>
      </c>
      <c r="O21">
        <v>7.7193265310677903</v>
      </c>
      <c r="P21" s="29">
        <v>8.8606337262394703</v>
      </c>
      <c r="Q21" s="29">
        <v>6.5932613495769896</v>
      </c>
      <c r="R21" s="29">
        <v>11.7677414738321</v>
      </c>
      <c r="S21">
        <v>1.3200204398609801</v>
      </c>
      <c r="T21">
        <v>0.71475382076865301</v>
      </c>
      <c r="U21">
        <v>1.5011085856640001</v>
      </c>
      <c r="V21">
        <v>-0.112544638614843</v>
      </c>
      <c r="W21">
        <v>-3.05471746651628</v>
      </c>
      <c r="X21">
        <v>2.8296281892866002</v>
      </c>
      <c r="Y21">
        <v>20</v>
      </c>
    </row>
    <row r="22" spans="1:25" x14ac:dyDescent="0.3">
      <c r="A22">
        <v>13112</v>
      </c>
      <c r="B22">
        <v>201</v>
      </c>
      <c r="C22" t="s">
        <v>12</v>
      </c>
      <c r="D22" t="s">
        <v>22</v>
      </c>
      <c r="E22" t="s">
        <v>15</v>
      </c>
      <c r="F22" t="s">
        <v>14</v>
      </c>
      <c r="G22" t="s">
        <v>17</v>
      </c>
      <c r="H22">
        <v>0.104477611940299</v>
      </c>
      <c r="I22" s="29">
        <f>Table3[[#This Row],[sedentarismo2]]*100</f>
        <v>10.4477611940299</v>
      </c>
      <c r="J22">
        <v>10.7061038753973</v>
      </c>
      <c r="K22">
        <v>12.1590354015269</v>
      </c>
      <c r="L22">
        <v>-2.30040740319847</v>
      </c>
      <c r="M22">
        <v>9.1003567534490806</v>
      </c>
      <c r="N22">
        <v>10.728848761283199</v>
      </c>
      <c r="O22">
        <v>7.7525764987789296</v>
      </c>
      <c r="P22" s="29">
        <v>9.4796169746231698</v>
      </c>
      <c r="Q22" s="29">
        <v>7.1334534829244598</v>
      </c>
      <c r="R22" s="29">
        <v>12.7098400836928</v>
      </c>
      <c r="S22">
        <v>1.42254760223682</v>
      </c>
      <c r="T22">
        <v>0.759253128189875</v>
      </c>
      <c r="U22">
        <v>1.61248472653103</v>
      </c>
      <c r="V22">
        <v>0.37926022117408598</v>
      </c>
      <c r="W22">
        <v>-2.7812098428267298</v>
      </c>
      <c r="X22">
        <v>3.5397302851749002</v>
      </c>
      <c r="Y22">
        <v>21</v>
      </c>
    </row>
    <row r="23" spans="1:25" x14ac:dyDescent="0.3">
      <c r="A23">
        <v>21121</v>
      </c>
      <c r="B23">
        <v>128</v>
      </c>
      <c r="C23" t="s">
        <v>23</v>
      </c>
      <c r="D23" t="s">
        <v>13</v>
      </c>
      <c r="E23" t="s">
        <v>15</v>
      </c>
      <c r="F23" t="s">
        <v>18</v>
      </c>
      <c r="G23" t="s">
        <v>16</v>
      </c>
      <c r="H23">
        <v>6.25E-2</v>
      </c>
      <c r="I23" s="29">
        <f>Table3[[#This Row],[sedentarismo2]]*100</f>
        <v>6.25</v>
      </c>
      <c r="J23">
        <v>7.6856098323612096</v>
      </c>
      <c r="K23">
        <v>12.1590354015269</v>
      </c>
      <c r="L23">
        <v>-2.1368097412346501</v>
      </c>
      <c r="M23">
        <v>10.5623516378432</v>
      </c>
      <c r="N23">
        <v>12.3264956090004</v>
      </c>
      <c r="O23">
        <v>9.0587117934050401</v>
      </c>
      <c r="P23" s="29">
        <v>9.5502015800403601</v>
      </c>
      <c r="Q23" s="29">
        <v>6.88077538496883</v>
      </c>
      <c r="R23" s="29">
        <v>13.040416335641799</v>
      </c>
      <c r="S23">
        <v>1.5713369772124901</v>
      </c>
      <c r="T23">
        <v>0.83361832030493399</v>
      </c>
      <c r="U23">
        <v>1.7787690687391999</v>
      </c>
      <c r="V23">
        <v>-1.01215005780282</v>
      </c>
      <c r="W23">
        <v>-4.4985374325316503</v>
      </c>
      <c r="X23">
        <v>2.4742373169260099</v>
      </c>
      <c r="Y23">
        <v>22</v>
      </c>
    </row>
    <row r="24" spans="1:25" x14ac:dyDescent="0.3">
      <c r="A24">
        <v>13121</v>
      </c>
      <c r="B24">
        <v>107</v>
      </c>
      <c r="C24" t="s">
        <v>12</v>
      </c>
      <c r="D24" t="s">
        <v>22</v>
      </c>
      <c r="E24" t="s">
        <v>15</v>
      </c>
      <c r="F24" t="s">
        <v>18</v>
      </c>
      <c r="G24" t="s">
        <v>16</v>
      </c>
      <c r="H24">
        <v>0.11214953271028</v>
      </c>
      <c r="I24" s="29">
        <f>Table3[[#This Row],[sedentarismo2]]*100</f>
        <v>11.214953271028</v>
      </c>
      <c r="J24">
        <v>11.4463029961688</v>
      </c>
      <c r="K24">
        <v>12.1590354015269</v>
      </c>
      <c r="L24">
        <v>-2.2855212542732</v>
      </c>
      <c r="M24">
        <v>9.2107169279594601</v>
      </c>
      <c r="N24">
        <v>10.8277348860414</v>
      </c>
      <c r="O24">
        <v>7.82763470277055</v>
      </c>
      <c r="P24" s="29">
        <v>9.5604568791387408</v>
      </c>
      <c r="Q24" s="29">
        <v>7.0193394613628897</v>
      </c>
      <c r="R24" s="29">
        <v>13.0464134719426</v>
      </c>
      <c r="S24">
        <v>1.53751888024992</v>
      </c>
      <c r="T24">
        <v>0.76533167940583002</v>
      </c>
      <c r="U24">
        <v>1.71746816175064</v>
      </c>
      <c r="V24">
        <v>0.34973995117928602</v>
      </c>
      <c r="W24">
        <v>-3.0164976458519699</v>
      </c>
      <c r="X24">
        <v>3.7159775482105402</v>
      </c>
      <c r="Y24">
        <v>23</v>
      </c>
    </row>
    <row r="25" spans="1:25" x14ac:dyDescent="0.3">
      <c r="A25">
        <v>13211</v>
      </c>
      <c r="B25">
        <v>142</v>
      </c>
      <c r="C25" t="s">
        <v>12</v>
      </c>
      <c r="D25" t="s">
        <v>22</v>
      </c>
      <c r="E25" t="s">
        <v>20</v>
      </c>
      <c r="F25" t="s">
        <v>14</v>
      </c>
      <c r="G25" t="s">
        <v>16</v>
      </c>
      <c r="H25">
        <v>6.3380281690140802E-2</v>
      </c>
      <c r="I25" s="29">
        <f>Table3[[#This Row],[sedentarismo2]]*100</f>
        <v>6.3380281690140805</v>
      </c>
      <c r="J25">
        <v>7.6462523270617897</v>
      </c>
      <c r="K25">
        <v>12.1590354015269</v>
      </c>
      <c r="L25">
        <v>-2.0972128980537299</v>
      </c>
      <c r="M25">
        <v>10.9113260310946</v>
      </c>
      <c r="N25">
        <v>12.841086945591201</v>
      </c>
      <c r="O25">
        <v>9.3953375460259902</v>
      </c>
      <c r="P25" s="29">
        <v>9.5735614362485606</v>
      </c>
      <c r="Q25" s="29">
        <v>6.9974166687335</v>
      </c>
      <c r="R25" s="29">
        <v>13.092074945368999</v>
      </c>
      <c r="S25">
        <v>1.5547597644478199</v>
      </c>
      <c r="T25">
        <v>0.87901770397071599</v>
      </c>
      <c r="U25">
        <v>1.7860431263101699</v>
      </c>
      <c r="V25">
        <v>-1.3377645948460799</v>
      </c>
      <c r="W25">
        <v>-4.83840912241401</v>
      </c>
      <c r="X25">
        <v>2.16287993272186</v>
      </c>
      <c r="Y25">
        <v>24</v>
      </c>
    </row>
    <row r="26" spans="1:25" x14ac:dyDescent="0.3">
      <c r="A26">
        <v>12231</v>
      </c>
      <c r="B26">
        <v>286</v>
      </c>
      <c r="C26" t="s">
        <v>12</v>
      </c>
      <c r="D26" t="s">
        <v>21</v>
      </c>
      <c r="E26" t="s">
        <v>20</v>
      </c>
      <c r="F26" t="s">
        <v>19</v>
      </c>
      <c r="G26" t="s">
        <v>16</v>
      </c>
      <c r="H26">
        <v>9.7902097902097904E-2</v>
      </c>
      <c r="I26" s="29">
        <f>Table3[[#This Row],[sedentarismo2]]*100</f>
        <v>9.79020979020979</v>
      </c>
      <c r="J26">
        <v>10.0596065727668</v>
      </c>
      <c r="K26">
        <v>12.1590354015269</v>
      </c>
      <c r="L26">
        <v>-2.23656746725531</v>
      </c>
      <c r="M26">
        <v>9.6899343319314593</v>
      </c>
      <c r="N26">
        <v>11.2954482354011</v>
      </c>
      <c r="O26">
        <v>8.4023043952491694</v>
      </c>
      <c r="P26" s="29">
        <v>9.6629344789176006</v>
      </c>
      <c r="Q26" s="29">
        <v>7.3079849559047201</v>
      </c>
      <c r="R26" s="29">
        <v>12.639221200579801</v>
      </c>
      <c r="S26">
        <v>1.3600092460905899</v>
      </c>
      <c r="T26">
        <v>0.73804689799793699</v>
      </c>
      <c r="U26">
        <v>1.5473649773393101</v>
      </c>
      <c r="V26">
        <v>-2.6999853013867502E-2</v>
      </c>
      <c r="W26">
        <v>-3.0598352085989098</v>
      </c>
      <c r="X26">
        <v>3.00583550257118</v>
      </c>
      <c r="Y26">
        <v>25</v>
      </c>
    </row>
    <row r="27" spans="1:25" x14ac:dyDescent="0.3">
      <c r="A27">
        <v>12222</v>
      </c>
      <c r="B27">
        <v>364</v>
      </c>
      <c r="C27" t="s">
        <v>12</v>
      </c>
      <c r="D27" t="s">
        <v>21</v>
      </c>
      <c r="E27" t="s">
        <v>20</v>
      </c>
      <c r="F27" t="s">
        <v>18</v>
      </c>
      <c r="G27" t="s">
        <v>17</v>
      </c>
      <c r="H27">
        <v>7.4175824175824204E-2</v>
      </c>
      <c r="I27" s="29">
        <f>Table3[[#This Row],[sedentarismo2]]*100</f>
        <v>7.4175824175824205</v>
      </c>
      <c r="J27">
        <v>7.8936502671805098</v>
      </c>
      <c r="K27">
        <v>12.1590354015269</v>
      </c>
      <c r="L27">
        <v>-1.97624536015701</v>
      </c>
      <c r="M27">
        <v>12.1375718364819</v>
      </c>
      <c r="N27">
        <v>14.0951615609687</v>
      </c>
      <c r="O27">
        <v>10.409331225157199</v>
      </c>
      <c r="P27" s="29">
        <v>9.8200382469118797</v>
      </c>
      <c r="Q27" s="29">
        <v>7.5735875970533204</v>
      </c>
      <c r="R27" s="29">
        <v>12.5741105587257</v>
      </c>
      <c r="S27">
        <v>1.27564361267153</v>
      </c>
      <c r="T27">
        <v>0.94026284076824695</v>
      </c>
      <c r="U27">
        <v>1.5847273697009401</v>
      </c>
      <c r="V27">
        <v>-2.3175335895700302</v>
      </c>
      <c r="W27">
        <v>-5.4235992341838699</v>
      </c>
      <c r="X27">
        <v>0.78853205504380997</v>
      </c>
      <c r="Y27">
        <v>26</v>
      </c>
    </row>
    <row r="28" spans="1:25" x14ac:dyDescent="0.3">
      <c r="A28">
        <v>12212</v>
      </c>
      <c r="B28">
        <v>307</v>
      </c>
      <c r="C28" t="s">
        <v>12</v>
      </c>
      <c r="D28" t="s">
        <v>21</v>
      </c>
      <c r="E28" t="s">
        <v>20</v>
      </c>
      <c r="F28" t="s">
        <v>14</v>
      </c>
      <c r="G28" t="s">
        <v>17</v>
      </c>
      <c r="H28">
        <v>0.10423452768729601</v>
      </c>
      <c r="I28" s="29">
        <f>Table3[[#This Row],[sedentarismo2]]*100</f>
        <v>10.4234527687296</v>
      </c>
      <c r="J28">
        <v>10.605088301053501</v>
      </c>
      <c r="K28">
        <v>12.1590354015269</v>
      </c>
      <c r="L28">
        <v>-2.2678072029738598</v>
      </c>
      <c r="M28">
        <v>9.3887831613412693</v>
      </c>
      <c r="N28">
        <v>10.924785137376499</v>
      </c>
      <c r="O28">
        <v>8.0193333013304695</v>
      </c>
      <c r="P28" s="29">
        <v>9.8608726160201403</v>
      </c>
      <c r="Q28" s="29">
        <v>7.4586030912682499</v>
      </c>
      <c r="R28" s="29">
        <v>12.7451821703246</v>
      </c>
      <c r="S28">
        <v>1.3486171120041801</v>
      </c>
      <c r="T28">
        <v>0.74118669286887295</v>
      </c>
      <c r="U28">
        <v>1.5388716088343399</v>
      </c>
      <c r="V28">
        <v>0.47208945467886398</v>
      </c>
      <c r="W28">
        <v>-2.5440988986364501</v>
      </c>
      <c r="X28">
        <v>3.4882778079941801</v>
      </c>
      <c r="Y28">
        <v>27</v>
      </c>
    </row>
    <row r="29" spans="1:25" x14ac:dyDescent="0.3">
      <c r="A29">
        <v>22121</v>
      </c>
      <c r="B29">
        <v>128</v>
      </c>
      <c r="C29" t="s">
        <v>23</v>
      </c>
      <c r="D29" t="s">
        <v>21</v>
      </c>
      <c r="E29" t="s">
        <v>15</v>
      </c>
      <c r="F29" t="s">
        <v>18</v>
      </c>
      <c r="G29" t="s">
        <v>16</v>
      </c>
      <c r="H29">
        <v>7.03125E-2</v>
      </c>
      <c r="I29" s="29">
        <f>Table3[[#This Row],[sedentarismo2]]*100</f>
        <v>7.03125</v>
      </c>
      <c r="J29">
        <v>8.2495905595678405</v>
      </c>
      <c r="K29">
        <v>12.1590354015269</v>
      </c>
      <c r="L29">
        <v>-2.0881879585034402</v>
      </c>
      <c r="M29">
        <v>11.019301053416701</v>
      </c>
      <c r="N29">
        <v>12.9422466768841</v>
      </c>
      <c r="O29">
        <v>9.3476837313433307</v>
      </c>
      <c r="P29" s="29">
        <v>10.1171424397088</v>
      </c>
      <c r="Q29" s="29">
        <v>7.3811300935536899</v>
      </c>
      <c r="R29" s="29">
        <v>13.3506063291928</v>
      </c>
      <c r="S29">
        <v>1.52282557031611</v>
      </c>
      <c r="T29">
        <v>0.91698034325018796</v>
      </c>
      <c r="U29">
        <v>1.77759687992408</v>
      </c>
      <c r="V29">
        <v>-0.90215861370789197</v>
      </c>
      <c r="W29">
        <v>-4.3862484983590804</v>
      </c>
      <c r="X29">
        <v>2.5819312709433002</v>
      </c>
      <c r="Y29">
        <v>28</v>
      </c>
    </row>
    <row r="30" spans="1:25" x14ac:dyDescent="0.3">
      <c r="A30">
        <v>21112</v>
      </c>
      <c r="B30">
        <v>220</v>
      </c>
      <c r="C30" t="s">
        <v>23</v>
      </c>
      <c r="D30" t="s">
        <v>13</v>
      </c>
      <c r="E30" t="s">
        <v>15</v>
      </c>
      <c r="F30" t="s">
        <v>14</v>
      </c>
      <c r="G30" t="s">
        <v>17</v>
      </c>
      <c r="H30">
        <v>0.1</v>
      </c>
      <c r="I30" s="29">
        <f>Table3[[#This Row],[sedentarismo2]]*100</f>
        <v>10</v>
      </c>
      <c r="J30">
        <v>10.305959676940599</v>
      </c>
      <c r="K30">
        <v>12.1590354015269</v>
      </c>
      <c r="L30">
        <v>-2.1516958901599201</v>
      </c>
      <c r="M30">
        <v>10.4350211823484</v>
      </c>
      <c r="N30">
        <v>12.3006179503454</v>
      </c>
      <c r="O30">
        <v>8.8999901649061304</v>
      </c>
      <c r="P30" s="29">
        <v>10.319961451454899</v>
      </c>
      <c r="Q30" s="29">
        <v>7.7253451270140099</v>
      </c>
      <c r="R30" s="29">
        <v>13.541029612820299</v>
      </c>
      <c r="S30">
        <v>1.48359298107302</v>
      </c>
      <c r="T30">
        <v>0.86750708812226396</v>
      </c>
      <c r="U30">
        <v>1.7186089379005101</v>
      </c>
      <c r="V30">
        <v>-0.115059730893513</v>
      </c>
      <c r="W30">
        <v>-3.4835332491785</v>
      </c>
      <c r="X30">
        <v>3.2534137873914801</v>
      </c>
      <c r="Y30">
        <v>29</v>
      </c>
    </row>
    <row r="31" spans="1:25" x14ac:dyDescent="0.3">
      <c r="A31">
        <v>21131</v>
      </c>
      <c r="B31">
        <v>265</v>
      </c>
      <c r="C31" t="s">
        <v>23</v>
      </c>
      <c r="D31" t="s">
        <v>13</v>
      </c>
      <c r="E31" t="s">
        <v>15</v>
      </c>
      <c r="F31" t="s">
        <v>19</v>
      </c>
      <c r="G31" t="s">
        <v>16</v>
      </c>
      <c r="H31">
        <v>9.8113207547169803E-2</v>
      </c>
      <c r="I31" s="29">
        <f>Table3[[#This Row],[sedentarismo2]]*100</f>
        <v>9.8113207547169807</v>
      </c>
      <c r="J31">
        <v>10.0965115045408</v>
      </c>
      <c r="K31">
        <v>12.1590354015269</v>
      </c>
      <c r="L31">
        <v>-2.1204561544413698</v>
      </c>
      <c r="M31">
        <v>10.720465580264101</v>
      </c>
      <c r="N31">
        <v>12.374334600587501</v>
      </c>
      <c r="O31">
        <v>9.3173048310203992</v>
      </c>
      <c r="P31" s="29">
        <v>10.454667381712399</v>
      </c>
      <c r="Q31" s="29">
        <v>7.8536698382389698</v>
      </c>
      <c r="R31" s="29">
        <v>13.5813023961762</v>
      </c>
      <c r="S31">
        <v>1.4611307545758301</v>
      </c>
      <c r="T31">
        <v>0.77985453305283003</v>
      </c>
      <c r="U31">
        <v>1.6562234676185399</v>
      </c>
      <c r="V31">
        <v>-0.265798198551709</v>
      </c>
      <c r="W31">
        <v>-3.5119961950840599</v>
      </c>
      <c r="X31">
        <v>2.98039979798064</v>
      </c>
      <c r="Y31">
        <v>30</v>
      </c>
    </row>
    <row r="32" spans="1:25" x14ac:dyDescent="0.3">
      <c r="A32">
        <v>22131</v>
      </c>
      <c r="B32">
        <v>244</v>
      </c>
      <c r="C32" t="s">
        <v>23</v>
      </c>
      <c r="D32" t="s">
        <v>21</v>
      </c>
      <c r="E32" t="s">
        <v>15</v>
      </c>
      <c r="F32" t="s">
        <v>19</v>
      </c>
      <c r="G32" t="s">
        <v>16</v>
      </c>
      <c r="H32">
        <v>0.102459016393443</v>
      </c>
      <c r="I32" s="29">
        <f>Table3[[#This Row],[sedentarismo2]]*100</f>
        <v>10.2459016393443</v>
      </c>
      <c r="J32">
        <v>10.492163160308101</v>
      </c>
      <c r="K32">
        <v>12.1590354015269</v>
      </c>
      <c r="L32">
        <v>-2.0718343717101599</v>
      </c>
      <c r="M32">
        <v>11.2358640556879</v>
      </c>
      <c r="N32">
        <v>13.072976165963199</v>
      </c>
      <c r="O32">
        <v>9.6232129847333905</v>
      </c>
      <c r="P32" s="29">
        <v>10.8163791150679</v>
      </c>
      <c r="Q32" s="29">
        <v>8.1068517749095292</v>
      </c>
      <c r="R32" s="29">
        <v>14.088460785638</v>
      </c>
      <c r="S32">
        <v>1.52592066600216</v>
      </c>
      <c r="T32">
        <v>0.88004162786475404</v>
      </c>
      <c r="U32">
        <v>1.7615070666072601</v>
      </c>
      <c r="V32">
        <v>-0.41948494062002001</v>
      </c>
      <c r="W32">
        <v>-3.8720387911702598</v>
      </c>
      <c r="X32">
        <v>3.0330689099302202</v>
      </c>
      <c r="Y32">
        <v>31</v>
      </c>
    </row>
    <row r="33" spans="1:25" x14ac:dyDescent="0.3">
      <c r="A33">
        <v>13132</v>
      </c>
      <c r="B33">
        <v>497</v>
      </c>
      <c r="C33" t="s">
        <v>12</v>
      </c>
      <c r="D33" t="s">
        <v>22</v>
      </c>
      <c r="E33" t="s">
        <v>15</v>
      </c>
      <c r="F33" t="s">
        <v>19</v>
      </c>
      <c r="G33" t="s">
        <v>17</v>
      </c>
      <c r="H33">
        <v>0.10462776659959799</v>
      </c>
      <c r="I33" s="29">
        <f>Table3[[#This Row],[sedentarismo2]]*100</f>
        <v>10.462776659959799</v>
      </c>
      <c r="J33">
        <v>10.5771219089269</v>
      </c>
      <c r="K33">
        <v>12.1590354015269</v>
      </c>
      <c r="L33">
        <v>-1.99249197358834</v>
      </c>
      <c r="M33">
        <v>11.9783170558915</v>
      </c>
      <c r="N33">
        <v>13.702636979357299</v>
      </c>
      <c r="O33">
        <v>10.5564023512917</v>
      </c>
      <c r="P33" s="29">
        <v>11.116032001734901</v>
      </c>
      <c r="Q33" s="29">
        <v>8.8136306605724108</v>
      </c>
      <c r="R33" s="29">
        <v>14.009822753325301</v>
      </c>
      <c r="S33">
        <v>1.3255592073349201</v>
      </c>
      <c r="T33">
        <v>0.80261087450653601</v>
      </c>
      <c r="U33">
        <v>1.5496100890309501</v>
      </c>
      <c r="V33">
        <v>-0.86228505415658696</v>
      </c>
      <c r="W33">
        <v>-3.89952082865726</v>
      </c>
      <c r="X33">
        <v>2.1749507203440799</v>
      </c>
      <c r="Y33">
        <v>32</v>
      </c>
    </row>
    <row r="34" spans="1:25" x14ac:dyDescent="0.3">
      <c r="A34">
        <v>21132</v>
      </c>
      <c r="B34">
        <v>514</v>
      </c>
      <c r="C34" t="s">
        <v>23</v>
      </c>
      <c r="D34" t="s">
        <v>13</v>
      </c>
      <c r="E34" t="s">
        <v>15</v>
      </c>
      <c r="F34" t="s">
        <v>19</v>
      </c>
      <c r="G34" t="s">
        <v>17</v>
      </c>
      <c r="H34">
        <v>9.5330739299610903E-2</v>
      </c>
      <c r="I34" s="29">
        <f>Table3[[#This Row],[sedentarismo2]]*100</f>
        <v>9.5330739299610912</v>
      </c>
      <c r="J34">
        <v>9.7105309086370202</v>
      </c>
      <c r="K34">
        <v>12.1590354015269</v>
      </c>
      <c r="L34">
        <v>-1.8437804605497901</v>
      </c>
      <c r="M34">
        <v>13.6941699643727</v>
      </c>
      <c r="N34">
        <v>15.660901943604699</v>
      </c>
      <c r="O34">
        <v>12.065718421533999</v>
      </c>
      <c r="P34" s="29">
        <v>11.315087987982301</v>
      </c>
      <c r="Q34" s="29">
        <v>8.9068747808792104</v>
      </c>
      <c r="R34" s="29">
        <v>14.0193221350365</v>
      </c>
      <c r="S34">
        <v>1.30419575361155</v>
      </c>
      <c r="T34">
        <v>0.917138653589473</v>
      </c>
      <c r="U34">
        <v>1.5943869899263201</v>
      </c>
      <c r="V34">
        <v>-2.3790819763903399</v>
      </c>
      <c r="W34">
        <v>-5.5040804766459299</v>
      </c>
      <c r="X34">
        <v>0.74591652386524898</v>
      </c>
      <c r="Y34">
        <v>33</v>
      </c>
    </row>
    <row r="35" spans="1:25" x14ac:dyDescent="0.3">
      <c r="A35">
        <v>12232</v>
      </c>
      <c r="B35">
        <v>511</v>
      </c>
      <c r="C35" t="s">
        <v>12</v>
      </c>
      <c r="D35" t="s">
        <v>21</v>
      </c>
      <c r="E35" t="s">
        <v>20</v>
      </c>
      <c r="F35" t="s">
        <v>19</v>
      </c>
      <c r="G35" t="s">
        <v>17</v>
      </c>
      <c r="H35">
        <v>0.105675146771037</v>
      </c>
      <c r="I35" s="29">
        <f>Table3[[#This Row],[sedentarismo2]]*100</f>
        <v>10.5675146771037</v>
      </c>
      <c r="J35">
        <v>10.6716832194752</v>
      </c>
      <c r="K35">
        <v>12.1590354015269</v>
      </c>
      <c r="L35">
        <v>-1.95989177336373</v>
      </c>
      <c r="M35">
        <v>12.3723298323709</v>
      </c>
      <c r="N35">
        <v>14.2456874015559</v>
      </c>
      <c r="O35">
        <v>10.83240713402</v>
      </c>
      <c r="P35" s="29">
        <v>11.323878680553101</v>
      </c>
      <c r="Q35" s="29">
        <v>8.8681469294123492</v>
      </c>
      <c r="R35" s="29">
        <v>14.213890428250499</v>
      </c>
      <c r="S35">
        <v>1.36371007623422</v>
      </c>
      <c r="T35">
        <v>0.87073476212650303</v>
      </c>
      <c r="U35">
        <v>1.6179877001999301</v>
      </c>
      <c r="V35">
        <v>-1.0484511518177999</v>
      </c>
      <c r="W35">
        <v>-4.2197070442096596</v>
      </c>
      <c r="X35">
        <v>2.1228047405740602</v>
      </c>
      <c r="Y35">
        <v>34</v>
      </c>
    </row>
    <row r="36" spans="1:25" x14ac:dyDescent="0.3">
      <c r="A36">
        <v>11231</v>
      </c>
      <c r="B36">
        <v>344</v>
      </c>
      <c r="C36" t="s">
        <v>12</v>
      </c>
      <c r="D36" t="s">
        <v>13</v>
      </c>
      <c r="E36" t="s">
        <v>20</v>
      </c>
      <c r="F36" t="s">
        <v>19</v>
      </c>
      <c r="G36" t="s">
        <v>16</v>
      </c>
      <c r="H36">
        <v>0.13953488372093001</v>
      </c>
      <c r="I36" s="29">
        <f>Table3[[#This Row],[sedentarismo2]]*100</f>
        <v>13.953488372093</v>
      </c>
      <c r="J36">
        <v>13.8006038715495</v>
      </c>
      <c r="K36">
        <v>12.1590354015269</v>
      </c>
      <c r="L36">
        <v>-2.2851892499865198</v>
      </c>
      <c r="M36">
        <v>9.2485167860701303</v>
      </c>
      <c r="N36">
        <v>10.754513492880101</v>
      </c>
      <c r="O36">
        <v>8.0132737704877606</v>
      </c>
      <c r="P36" s="29">
        <v>11.3474118772388</v>
      </c>
      <c r="Q36" s="29">
        <v>8.9253611430419006</v>
      </c>
      <c r="R36" s="29">
        <v>14.695293804311399</v>
      </c>
      <c r="S36">
        <v>1.4719215972626201</v>
      </c>
      <c r="T36">
        <v>0.69929584754907204</v>
      </c>
      <c r="U36">
        <v>1.6295913202050101</v>
      </c>
      <c r="V36">
        <v>2.0988950911686999</v>
      </c>
      <c r="W36">
        <v>-1.0951038964331301</v>
      </c>
      <c r="X36">
        <v>5.2928940787705301</v>
      </c>
      <c r="Y36">
        <v>35</v>
      </c>
    </row>
    <row r="37" spans="1:25" x14ac:dyDescent="0.3">
      <c r="A37">
        <v>13212</v>
      </c>
      <c r="B37">
        <v>347</v>
      </c>
      <c r="C37" t="s">
        <v>12</v>
      </c>
      <c r="D37" t="s">
        <v>22</v>
      </c>
      <c r="E37" t="s">
        <v>20</v>
      </c>
      <c r="F37" t="s">
        <v>14</v>
      </c>
      <c r="G37" t="s">
        <v>17</v>
      </c>
      <c r="H37">
        <v>9.2219020172910698E-2</v>
      </c>
      <c r="I37" s="29">
        <f>Table3[[#This Row],[sedentarismo2]]*100</f>
        <v>9.22190201729107</v>
      </c>
      <c r="J37">
        <v>9.5089386154503597</v>
      </c>
      <c r="K37">
        <v>12.1590354015269</v>
      </c>
      <c r="L37">
        <v>-1.8205372041621499</v>
      </c>
      <c r="M37">
        <v>13.9257764359039</v>
      </c>
      <c r="N37">
        <v>15.905035171658501</v>
      </c>
      <c r="O37">
        <v>12.0716643775549</v>
      </c>
      <c r="P37" s="29">
        <v>11.4131997169369</v>
      </c>
      <c r="Q37" s="29">
        <v>8.9435998470631795</v>
      </c>
      <c r="R37" s="29">
        <v>14.725658499400099</v>
      </c>
      <c r="S37">
        <v>1.47501496233084</v>
      </c>
      <c r="T37">
        <v>0.97790071278153201</v>
      </c>
      <c r="U37">
        <v>1.76973414476821</v>
      </c>
      <c r="V37">
        <v>-2.5125767189669701</v>
      </c>
      <c r="W37">
        <v>-5.98125564271266</v>
      </c>
      <c r="X37">
        <v>0.95610220477872898</v>
      </c>
      <c r="Y37">
        <v>36</v>
      </c>
    </row>
    <row r="38" spans="1:25" x14ac:dyDescent="0.3">
      <c r="A38">
        <v>21211</v>
      </c>
      <c r="B38">
        <v>138</v>
      </c>
      <c r="C38" t="s">
        <v>23</v>
      </c>
      <c r="D38" t="s">
        <v>13</v>
      </c>
      <c r="E38" t="s">
        <v>20</v>
      </c>
      <c r="F38" t="s">
        <v>14</v>
      </c>
      <c r="G38" t="s">
        <v>16</v>
      </c>
      <c r="H38">
        <v>9.4202898550724598E-2</v>
      </c>
      <c r="I38" s="29">
        <f>Table3[[#This Row],[sedentarismo2]]*100</f>
        <v>9.4202898550724594</v>
      </c>
      <c r="J38">
        <v>9.9968288822323395</v>
      </c>
      <c r="K38">
        <v>12.1590354015269</v>
      </c>
      <c r="L38">
        <v>-1.94850138501518</v>
      </c>
      <c r="M38">
        <v>12.473995225166201</v>
      </c>
      <c r="N38">
        <v>14.5156018552925</v>
      </c>
      <c r="O38">
        <v>10.8317551512213</v>
      </c>
      <c r="P38" s="29">
        <v>11.6803035158093</v>
      </c>
      <c r="Q38" s="29">
        <v>8.5463519388035802</v>
      </c>
      <c r="R38" s="29">
        <v>15.3313036866637</v>
      </c>
      <c r="S38">
        <v>1.7308550377194301</v>
      </c>
      <c r="T38">
        <v>0.93975681226305097</v>
      </c>
      <c r="U38">
        <v>1.96951822225475</v>
      </c>
      <c r="V38">
        <v>-0.79369170935686695</v>
      </c>
      <c r="W38">
        <v>-4.6539474249761801</v>
      </c>
      <c r="X38">
        <v>3.0665640062624502</v>
      </c>
      <c r="Y38">
        <v>37</v>
      </c>
    </row>
    <row r="39" spans="1:25" x14ac:dyDescent="0.3">
      <c r="A39">
        <v>12221</v>
      </c>
      <c r="B39">
        <v>204</v>
      </c>
      <c r="C39" t="s">
        <v>12</v>
      </c>
      <c r="D39" t="s">
        <v>21</v>
      </c>
      <c r="E39" t="s">
        <v>20</v>
      </c>
      <c r="F39" t="s">
        <v>18</v>
      </c>
      <c r="G39" t="s">
        <v>16</v>
      </c>
      <c r="H39">
        <v>0.161764705882353</v>
      </c>
      <c r="I39" s="29">
        <f>Table3[[#This Row],[sedentarismo2]]*100</f>
        <v>16.176470588235301</v>
      </c>
      <c r="J39">
        <v>15.6565409053406</v>
      </c>
      <c r="K39">
        <v>12.1590354015269</v>
      </c>
      <c r="L39">
        <v>-2.2529210540485902</v>
      </c>
      <c r="M39">
        <v>9.5048302614169504</v>
      </c>
      <c r="N39">
        <v>11.149748354545601</v>
      </c>
      <c r="O39">
        <v>8.1519604339160594</v>
      </c>
      <c r="P39" s="29">
        <v>11.705955414872401</v>
      </c>
      <c r="Q39" s="29">
        <v>8.9296128673371502</v>
      </c>
      <c r="R39" s="29">
        <v>15.181831256997199</v>
      </c>
      <c r="S39">
        <v>1.5949536708316501</v>
      </c>
      <c r="T39">
        <v>0.76474181648713802</v>
      </c>
      <c r="U39">
        <v>1.76881521306874</v>
      </c>
      <c r="V39">
        <v>2.2011251534554699</v>
      </c>
      <c r="W39">
        <v>-1.26575266415925</v>
      </c>
      <c r="X39">
        <v>5.66800297107019</v>
      </c>
      <c r="Y39">
        <v>38</v>
      </c>
    </row>
    <row r="40" spans="1:25" x14ac:dyDescent="0.3">
      <c r="A40">
        <v>22112</v>
      </c>
      <c r="B40">
        <v>182</v>
      </c>
      <c r="C40" t="s">
        <v>23</v>
      </c>
      <c r="D40" t="s">
        <v>21</v>
      </c>
      <c r="E40" t="s">
        <v>15</v>
      </c>
      <c r="F40" t="s">
        <v>14</v>
      </c>
      <c r="G40" t="s">
        <v>17</v>
      </c>
      <c r="H40">
        <v>0.13736263736263701</v>
      </c>
      <c r="I40" s="29">
        <f>Table3[[#This Row],[sedentarismo2]]*100</f>
        <v>13.736263736263702</v>
      </c>
      <c r="J40">
        <v>13.498244010409</v>
      </c>
      <c r="K40">
        <v>12.1590354015269</v>
      </c>
      <c r="L40">
        <v>-2.1030741074287098</v>
      </c>
      <c r="M40">
        <v>10.9094709491381</v>
      </c>
      <c r="N40">
        <v>12.7373906762383</v>
      </c>
      <c r="O40">
        <v>9.2548925564024902</v>
      </c>
      <c r="P40" s="29">
        <v>11.870323652762</v>
      </c>
      <c r="Q40" s="29">
        <v>8.8428157774297294</v>
      </c>
      <c r="R40" s="29">
        <v>15.3483132012762</v>
      </c>
      <c r="S40">
        <v>1.6595656693485801</v>
      </c>
      <c r="T40">
        <v>0.88839237750912503</v>
      </c>
      <c r="U40">
        <v>1.88239188993597</v>
      </c>
      <c r="V40">
        <v>0.96085270362394903</v>
      </c>
      <c r="W40">
        <v>-2.7286354006505502</v>
      </c>
      <c r="X40">
        <v>4.6503408078984503</v>
      </c>
      <c r="Y40">
        <v>39</v>
      </c>
    </row>
    <row r="41" spans="1:25" x14ac:dyDescent="0.3">
      <c r="A41">
        <v>11232</v>
      </c>
      <c r="B41">
        <v>560</v>
      </c>
      <c r="C41" t="s">
        <v>12</v>
      </c>
      <c r="D41" t="s">
        <v>13</v>
      </c>
      <c r="E41" t="s">
        <v>20</v>
      </c>
      <c r="F41" t="s">
        <v>19</v>
      </c>
      <c r="G41" t="s">
        <v>17</v>
      </c>
      <c r="H41">
        <v>0.123214285714286</v>
      </c>
      <c r="I41" s="29">
        <f>Table3[[#This Row],[sedentarismo2]]*100</f>
        <v>12.3214285714286</v>
      </c>
      <c r="J41">
        <v>12.312221190114901</v>
      </c>
      <c r="K41">
        <v>12.1590354015269</v>
      </c>
      <c r="L41">
        <v>-2.0085135560949401</v>
      </c>
      <c r="M41">
        <v>11.822122150149299</v>
      </c>
      <c r="N41">
        <v>13.680322713476899</v>
      </c>
      <c r="O41">
        <v>10.3462412964324</v>
      </c>
      <c r="P41" s="29">
        <v>12.1356363652057</v>
      </c>
      <c r="Q41" s="29">
        <v>9.6449508384105798</v>
      </c>
      <c r="R41" s="29">
        <v>15.1862103152404</v>
      </c>
      <c r="S41">
        <v>1.4135866012320899</v>
      </c>
      <c r="T41">
        <v>0.85053097373583497</v>
      </c>
      <c r="U41">
        <v>1.64973634756191</v>
      </c>
      <c r="V41">
        <v>0.31351421505638499</v>
      </c>
      <c r="W41">
        <v>-2.91996902616496</v>
      </c>
      <c r="X41">
        <v>3.54699745627773</v>
      </c>
      <c r="Y41">
        <v>40</v>
      </c>
    </row>
    <row r="42" spans="1:25" x14ac:dyDescent="0.3">
      <c r="A42">
        <v>22211</v>
      </c>
      <c r="B42">
        <v>144</v>
      </c>
      <c r="C42" t="s">
        <v>23</v>
      </c>
      <c r="D42" t="s">
        <v>21</v>
      </c>
      <c r="E42" t="s">
        <v>20</v>
      </c>
      <c r="F42" t="s">
        <v>14</v>
      </c>
      <c r="G42" t="s">
        <v>16</v>
      </c>
      <c r="H42">
        <v>0.104166666666667</v>
      </c>
      <c r="I42" s="29">
        <f>Table3[[#This Row],[sedentarismo2]]*100</f>
        <v>10.4166666666667</v>
      </c>
      <c r="J42">
        <v>10.7624974604353</v>
      </c>
      <c r="K42">
        <v>12.1590354015269</v>
      </c>
      <c r="L42">
        <v>-1.8998796022839699</v>
      </c>
      <c r="M42">
        <v>13.052371308333401</v>
      </c>
      <c r="N42">
        <v>15.299037974769201</v>
      </c>
      <c r="O42">
        <v>11.217879572130199</v>
      </c>
      <c r="P42" s="29">
        <v>12.2244311637987</v>
      </c>
      <c r="Q42" s="29">
        <v>9.1709986234143095</v>
      </c>
      <c r="R42" s="29">
        <v>16.077008824796302</v>
      </c>
      <c r="S42">
        <v>1.7617372962708999</v>
      </c>
      <c r="T42">
        <v>1.0411118374079</v>
      </c>
      <c r="U42">
        <v>2.04637048431186</v>
      </c>
      <c r="V42">
        <v>-0.82794014453473397</v>
      </c>
      <c r="W42">
        <v>-4.8388262937859796</v>
      </c>
      <c r="X42">
        <v>3.1829460047165199</v>
      </c>
      <c r="Y42">
        <v>41</v>
      </c>
    </row>
    <row r="43" spans="1:25" x14ac:dyDescent="0.3">
      <c r="A43">
        <v>21122</v>
      </c>
      <c r="B43">
        <v>307</v>
      </c>
      <c r="C43" t="s">
        <v>23</v>
      </c>
      <c r="D43" t="s">
        <v>13</v>
      </c>
      <c r="E43" t="s">
        <v>15</v>
      </c>
      <c r="F43" t="s">
        <v>18</v>
      </c>
      <c r="G43" t="s">
        <v>17</v>
      </c>
      <c r="H43">
        <v>0.11726384364820799</v>
      </c>
      <c r="I43" s="29">
        <f>Table3[[#This Row],[sedentarismo2]]*100</f>
        <v>11.726384364820799</v>
      </c>
      <c r="J43">
        <v>11.769886023253701</v>
      </c>
      <c r="K43">
        <v>12.1590354015269</v>
      </c>
      <c r="L43">
        <v>-1.8601340473430701</v>
      </c>
      <c r="M43">
        <v>13.471115206274501</v>
      </c>
      <c r="N43">
        <v>15.369743188239299</v>
      </c>
      <c r="O43">
        <v>11.7285146399204</v>
      </c>
      <c r="P43" s="29">
        <v>12.609324482051401</v>
      </c>
      <c r="Q43" s="29">
        <v>9.7712624816219105</v>
      </c>
      <c r="R43" s="29">
        <v>16.467604474133999</v>
      </c>
      <c r="S43">
        <v>1.7082505082938899</v>
      </c>
      <c r="T43">
        <v>0.928884833754831</v>
      </c>
      <c r="U43">
        <v>1.94446569356882</v>
      </c>
      <c r="V43">
        <v>-0.86179072422302705</v>
      </c>
      <c r="W43">
        <v>-4.67294348361792</v>
      </c>
      <c r="X43">
        <v>2.9493620351718701</v>
      </c>
      <c r="Y43">
        <v>42</v>
      </c>
    </row>
    <row r="44" spans="1:25" x14ac:dyDescent="0.3">
      <c r="A44">
        <v>13122</v>
      </c>
      <c r="B44">
        <v>273</v>
      </c>
      <c r="C44" t="s">
        <v>12</v>
      </c>
      <c r="D44" t="s">
        <v>22</v>
      </c>
      <c r="E44" t="s">
        <v>15</v>
      </c>
      <c r="F44" t="s">
        <v>18</v>
      </c>
      <c r="G44" t="s">
        <v>17</v>
      </c>
      <c r="H44">
        <v>0.14285714285714299</v>
      </c>
      <c r="I44" s="29">
        <f>Table3[[#This Row],[sedentarismo2]]*100</f>
        <v>14.285714285714299</v>
      </c>
      <c r="J44">
        <v>14.063986982885201</v>
      </c>
      <c r="K44">
        <v>12.1590354015269</v>
      </c>
      <c r="L44">
        <v>-2.0088455603816202</v>
      </c>
      <c r="M44">
        <v>11.781312436855</v>
      </c>
      <c r="N44">
        <v>13.543259855047401</v>
      </c>
      <c r="O44">
        <v>10.163060293120401</v>
      </c>
      <c r="P44" s="29">
        <v>12.9515292923583</v>
      </c>
      <c r="Q44" s="29">
        <v>10.0946530323594</v>
      </c>
      <c r="R44" s="29">
        <v>16.320305851233201</v>
      </c>
      <c r="S44">
        <v>1.5881767395086199</v>
      </c>
      <c r="T44">
        <v>0.86229580661401595</v>
      </c>
      <c r="U44">
        <v>1.80716889471359</v>
      </c>
      <c r="V44">
        <v>1.1702168555033301</v>
      </c>
      <c r="W44">
        <v>-2.3718341781353098</v>
      </c>
      <c r="X44">
        <v>4.7122678891419696</v>
      </c>
      <c r="Y44">
        <v>43</v>
      </c>
    </row>
    <row r="45" spans="1:25" x14ac:dyDescent="0.3">
      <c r="A45">
        <v>11222</v>
      </c>
      <c r="B45">
        <v>410</v>
      </c>
      <c r="C45" t="s">
        <v>12</v>
      </c>
      <c r="D45" t="s">
        <v>13</v>
      </c>
      <c r="E45" t="s">
        <v>20</v>
      </c>
      <c r="F45" t="s">
        <v>18</v>
      </c>
      <c r="G45" t="s">
        <v>17</v>
      </c>
      <c r="H45">
        <v>0.141463414634146</v>
      </c>
      <c r="I45" s="29">
        <f>Table3[[#This Row],[sedentarismo2]]*100</f>
        <v>14.146341463414599</v>
      </c>
      <c r="J45">
        <v>14.0031492081891</v>
      </c>
      <c r="K45">
        <v>12.1590354015269</v>
      </c>
      <c r="L45">
        <v>-2.0248671428882199</v>
      </c>
      <c r="M45">
        <v>11.6541676068776</v>
      </c>
      <c r="N45">
        <v>13.318264632635101</v>
      </c>
      <c r="O45">
        <v>10.012551996605801</v>
      </c>
      <c r="P45" s="29">
        <v>12.9926675952438</v>
      </c>
      <c r="Q45" s="29">
        <v>10.2399539162318</v>
      </c>
      <c r="R45" s="29">
        <v>16.444225606987299</v>
      </c>
      <c r="S45">
        <v>1.5827223700907</v>
      </c>
      <c r="T45">
        <v>0.84329403980338402</v>
      </c>
      <c r="U45">
        <v>1.7933641399206799</v>
      </c>
      <c r="V45">
        <v>1.3384999883662201</v>
      </c>
      <c r="W45">
        <v>-2.1764937258783199</v>
      </c>
      <c r="X45">
        <v>4.8534937026107601</v>
      </c>
      <c r="Y45">
        <v>44</v>
      </c>
    </row>
    <row r="46" spans="1:25" x14ac:dyDescent="0.3">
      <c r="A46">
        <v>13221</v>
      </c>
      <c r="B46">
        <v>192</v>
      </c>
      <c r="C46" t="s">
        <v>12</v>
      </c>
      <c r="D46" t="s">
        <v>22</v>
      </c>
      <c r="E46" t="s">
        <v>20</v>
      </c>
      <c r="F46" t="s">
        <v>18</v>
      </c>
      <c r="G46" t="s">
        <v>16</v>
      </c>
      <c r="H46">
        <v>0.119791666666667</v>
      </c>
      <c r="I46" s="29">
        <f>Table3[[#This Row],[sedentarismo2]]*100</f>
        <v>11.9791666666667</v>
      </c>
      <c r="J46">
        <v>12.006244298552801</v>
      </c>
      <c r="K46">
        <v>12.1590354015269</v>
      </c>
      <c r="L46">
        <v>-1.8056510552368801</v>
      </c>
      <c r="M46">
        <v>14.107634671392301</v>
      </c>
      <c r="N46">
        <v>16.312588388407399</v>
      </c>
      <c r="O46">
        <v>12.298849461073599</v>
      </c>
      <c r="P46" s="29">
        <v>13.220614253604801</v>
      </c>
      <c r="Q46" s="29">
        <v>10.1170142876543</v>
      </c>
      <c r="R46" s="29">
        <v>17.1875610621262</v>
      </c>
      <c r="S46">
        <v>1.80371091185509</v>
      </c>
      <c r="T46">
        <v>1.02391299166679</v>
      </c>
      <c r="U46">
        <v>2.0740710855824398</v>
      </c>
      <c r="V46">
        <v>-0.88702041778744301</v>
      </c>
      <c r="W46">
        <v>-4.9521997455290299</v>
      </c>
      <c r="X46">
        <v>3.1781589099541399</v>
      </c>
      <c r="Y46">
        <v>45</v>
      </c>
    </row>
    <row r="47" spans="1:25" x14ac:dyDescent="0.3">
      <c r="A47">
        <v>13231</v>
      </c>
      <c r="B47">
        <v>225</v>
      </c>
      <c r="C47" t="s">
        <v>12</v>
      </c>
      <c r="D47" t="s">
        <v>22</v>
      </c>
      <c r="E47" t="s">
        <v>20</v>
      </c>
      <c r="F47" t="s">
        <v>19</v>
      </c>
      <c r="G47" t="s">
        <v>16</v>
      </c>
      <c r="H47">
        <v>0.124444444444444</v>
      </c>
      <c r="I47" s="29">
        <f>Table3[[#This Row],[sedentarismo2]]*100</f>
        <v>12.4444444444444</v>
      </c>
      <c r="J47">
        <v>12.407411332831099</v>
      </c>
      <c r="K47">
        <v>12.1590354015269</v>
      </c>
      <c r="L47">
        <v>-1.7892974684435901</v>
      </c>
      <c r="M47">
        <v>14.309242354874099</v>
      </c>
      <c r="N47">
        <v>16.423029277786</v>
      </c>
      <c r="O47">
        <v>12.488270603755501</v>
      </c>
      <c r="P47" s="29">
        <v>13.394133913234199</v>
      </c>
      <c r="Q47" s="29">
        <v>10.4456417551055</v>
      </c>
      <c r="R47" s="29">
        <v>17.112476940255998</v>
      </c>
      <c r="S47">
        <v>1.7007232615179799</v>
      </c>
      <c r="T47">
        <v>1.0037649678649301</v>
      </c>
      <c r="U47">
        <v>1.9748427084153399</v>
      </c>
      <c r="V47">
        <v>-0.91510844163990501</v>
      </c>
      <c r="W47">
        <v>-4.7858001501339702</v>
      </c>
      <c r="X47">
        <v>2.95558326685416</v>
      </c>
      <c r="Y47">
        <v>46</v>
      </c>
    </row>
    <row r="48" spans="1:25" x14ac:dyDescent="0.3">
      <c r="A48">
        <v>22132</v>
      </c>
      <c r="B48">
        <v>418</v>
      </c>
      <c r="C48" t="s">
        <v>23</v>
      </c>
      <c r="D48" t="s">
        <v>21</v>
      </c>
      <c r="E48" t="s">
        <v>15</v>
      </c>
      <c r="F48" t="s">
        <v>19</v>
      </c>
      <c r="G48" t="s">
        <v>17</v>
      </c>
      <c r="H48">
        <v>0.13157894736842099</v>
      </c>
      <c r="I48" s="29">
        <f>Table3[[#This Row],[sedentarismo2]]*100</f>
        <v>13.157894736842099</v>
      </c>
      <c r="J48">
        <v>13.085248007693</v>
      </c>
      <c r="K48">
        <v>12.1590354015269</v>
      </c>
      <c r="L48">
        <v>-1.79515867781857</v>
      </c>
      <c r="M48">
        <v>14.258072729687401</v>
      </c>
      <c r="N48">
        <v>16.282317705870099</v>
      </c>
      <c r="O48">
        <v>12.431297018256201</v>
      </c>
      <c r="P48" s="29">
        <v>13.6167224036297</v>
      </c>
      <c r="Q48" s="29">
        <v>10.826186246917</v>
      </c>
      <c r="R48" s="29">
        <v>17.2551748952223</v>
      </c>
      <c r="S48">
        <v>1.6400481245676799</v>
      </c>
      <c r="T48">
        <v>0.98240323663620199</v>
      </c>
      <c r="U48">
        <v>1.9117724682218999</v>
      </c>
      <c r="V48">
        <v>-0.64135032605770104</v>
      </c>
      <c r="W48">
        <v>-4.3884243637726197</v>
      </c>
      <c r="X48">
        <v>3.1057237116572098</v>
      </c>
      <c r="Y48">
        <v>47</v>
      </c>
    </row>
    <row r="49" spans="1:25" x14ac:dyDescent="0.3">
      <c r="A49">
        <v>22122</v>
      </c>
      <c r="B49">
        <v>232</v>
      </c>
      <c r="C49" t="s">
        <v>23</v>
      </c>
      <c r="D49" t="s">
        <v>21</v>
      </c>
      <c r="E49" t="s">
        <v>15</v>
      </c>
      <c r="F49" t="s">
        <v>18</v>
      </c>
      <c r="G49" t="s">
        <v>17</v>
      </c>
      <c r="H49">
        <v>0.13362068965517199</v>
      </c>
      <c r="I49" s="29">
        <f>Table3[[#This Row],[sedentarismo2]]*100</f>
        <v>13.362068965517199</v>
      </c>
      <c r="J49">
        <v>13.213661372370099</v>
      </c>
      <c r="K49">
        <v>12.1590354015269</v>
      </c>
      <c r="L49">
        <v>-1.81151226461186</v>
      </c>
      <c r="M49">
        <v>14.070153665641</v>
      </c>
      <c r="N49">
        <v>16.108585140800098</v>
      </c>
      <c r="O49">
        <v>12.1803936680713</v>
      </c>
      <c r="P49" s="29">
        <v>13.768378202492199</v>
      </c>
      <c r="Q49" s="29">
        <v>10.666055556281799</v>
      </c>
      <c r="R49" s="29">
        <v>17.933071550538301</v>
      </c>
      <c r="S49">
        <v>1.85383061077972</v>
      </c>
      <c r="T49">
        <v>1.00208966141041</v>
      </c>
      <c r="U49">
        <v>2.1073375673986199</v>
      </c>
      <c r="V49">
        <v>-0.30177546314879899</v>
      </c>
      <c r="W49">
        <v>-4.4321570952500897</v>
      </c>
      <c r="X49">
        <v>3.82860616895249</v>
      </c>
      <c r="Y49">
        <v>48</v>
      </c>
    </row>
    <row r="50" spans="1:25" x14ac:dyDescent="0.3">
      <c r="A50">
        <v>23111</v>
      </c>
      <c r="B50">
        <v>63</v>
      </c>
      <c r="C50" t="s">
        <v>23</v>
      </c>
      <c r="D50" t="s">
        <v>22</v>
      </c>
      <c r="E50" t="s">
        <v>15</v>
      </c>
      <c r="F50" t="s">
        <v>14</v>
      </c>
      <c r="G50" t="s">
        <v>16</v>
      </c>
      <c r="H50">
        <v>0.22222222222222199</v>
      </c>
      <c r="I50" s="29">
        <f>Table3[[#This Row],[sedentarismo2]]*100</f>
        <v>22.2222222222222</v>
      </c>
      <c r="J50">
        <v>19.142981329113798</v>
      </c>
      <c r="K50">
        <v>12.1590354015269</v>
      </c>
      <c r="L50">
        <v>-1.9324798025085801</v>
      </c>
      <c r="M50">
        <v>12.6374400057255</v>
      </c>
      <c r="N50">
        <v>14.8485115397451</v>
      </c>
      <c r="O50">
        <v>10.7844926498872</v>
      </c>
      <c r="P50" s="29">
        <v>14.169550787956601</v>
      </c>
      <c r="Q50" s="29">
        <v>10.553018155742199</v>
      </c>
      <c r="R50" s="29">
        <v>18.864499007564699</v>
      </c>
      <c r="S50">
        <v>2.1202757275057298</v>
      </c>
      <c r="T50">
        <v>1.0367395127188499</v>
      </c>
      <c r="U50">
        <v>2.36016905705555</v>
      </c>
      <c r="V50">
        <v>1.53211078223108</v>
      </c>
      <c r="W50">
        <v>-3.0938205695978001</v>
      </c>
      <c r="X50">
        <v>6.1580421340599498</v>
      </c>
      <c r="Y50">
        <v>49</v>
      </c>
    </row>
    <row r="51" spans="1:25" x14ac:dyDescent="0.3">
      <c r="A51">
        <v>23131</v>
      </c>
      <c r="B51">
        <v>222</v>
      </c>
      <c r="C51" t="s">
        <v>23</v>
      </c>
      <c r="D51" t="s">
        <v>22</v>
      </c>
      <c r="E51" t="s">
        <v>15</v>
      </c>
      <c r="F51" t="s">
        <v>19</v>
      </c>
      <c r="G51" t="s">
        <v>16</v>
      </c>
      <c r="H51">
        <v>0.13063063063063099</v>
      </c>
      <c r="I51" s="29">
        <f>Table3[[#This Row],[sedentarismo2]]*100</f>
        <v>13.063063063063099</v>
      </c>
      <c r="J51">
        <v>12.9462648049885</v>
      </c>
      <c r="K51">
        <v>12.1590354015269</v>
      </c>
      <c r="L51">
        <v>-1.62456437289844</v>
      </c>
      <c r="M51">
        <v>16.513653680542699</v>
      </c>
      <c r="N51">
        <v>18.897075456481701</v>
      </c>
      <c r="O51">
        <v>14.2800543747557</v>
      </c>
      <c r="P51" s="29">
        <v>15.094662254443</v>
      </c>
      <c r="Q51" s="29">
        <v>11.7844215294941</v>
      </c>
      <c r="R51" s="29">
        <v>19.1442457372954</v>
      </c>
      <c r="S51">
        <v>1.8775061754595299</v>
      </c>
      <c r="T51">
        <v>1.17781150044028</v>
      </c>
      <c r="U51">
        <v>2.2163639975098999</v>
      </c>
      <c r="V51">
        <v>-1.4189914260996499</v>
      </c>
      <c r="W51">
        <v>-5.7630648612190498</v>
      </c>
      <c r="X51">
        <v>2.92508200901975</v>
      </c>
      <c r="Y51">
        <v>50</v>
      </c>
    </row>
    <row r="52" spans="1:25" x14ac:dyDescent="0.3">
      <c r="A52">
        <v>23121</v>
      </c>
      <c r="B52">
        <v>119</v>
      </c>
      <c r="C52" t="s">
        <v>23</v>
      </c>
      <c r="D52" t="s">
        <v>22</v>
      </c>
      <c r="E52" t="s">
        <v>15</v>
      </c>
      <c r="F52" t="s">
        <v>18</v>
      </c>
      <c r="G52" t="s">
        <v>16</v>
      </c>
      <c r="H52">
        <v>0.126050420168067</v>
      </c>
      <c r="I52" s="29">
        <f>Table3[[#This Row],[sedentarismo2]]*100</f>
        <v>12.605042016806699</v>
      </c>
      <c r="J52">
        <v>12.507222148578901</v>
      </c>
      <c r="K52">
        <v>12.1590354015269</v>
      </c>
      <c r="L52">
        <v>-1.6409179596917201</v>
      </c>
      <c r="M52">
        <v>16.215603076443799</v>
      </c>
      <c r="N52">
        <v>18.640609828260899</v>
      </c>
      <c r="O52">
        <v>14.0753417114275</v>
      </c>
      <c r="P52" s="29">
        <v>15.128438451205099</v>
      </c>
      <c r="Q52" s="29">
        <v>11.1920416981913</v>
      </c>
      <c r="R52" s="29">
        <v>19.763822973106102</v>
      </c>
      <c r="S52">
        <v>2.1866788966619199</v>
      </c>
      <c r="T52">
        <v>1.16460921347791</v>
      </c>
      <c r="U52">
        <v>2.4774743625765798</v>
      </c>
      <c r="V52">
        <v>-1.08716462523862</v>
      </c>
      <c r="W52">
        <v>-5.9430143758887102</v>
      </c>
      <c r="X52">
        <v>3.7686851254114799</v>
      </c>
      <c r="Y52">
        <v>51</v>
      </c>
    </row>
    <row r="53" spans="1:25" x14ac:dyDescent="0.3">
      <c r="A53">
        <v>22212</v>
      </c>
      <c r="B53">
        <v>308</v>
      </c>
      <c r="C53" t="s">
        <v>23</v>
      </c>
      <c r="D53" t="s">
        <v>21</v>
      </c>
      <c r="E53" t="s">
        <v>20</v>
      </c>
      <c r="F53" t="s">
        <v>14</v>
      </c>
      <c r="G53" t="s">
        <v>17</v>
      </c>
      <c r="H53">
        <v>0.15909090909090901</v>
      </c>
      <c r="I53" s="29">
        <f>Table3[[#This Row],[sedentarismo2]]*100</f>
        <v>15.909090909090901</v>
      </c>
      <c r="J53">
        <v>15.572230883859</v>
      </c>
      <c r="K53">
        <v>12.1590354015269</v>
      </c>
      <c r="L53">
        <v>-1.6232039083923799</v>
      </c>
      <c r="M53">
        <v>16.530543549974499</v>
      </c>
      <c r="N53">
        <v>18.870261894957</v>
      </c>
      <c r="O53">
        <v>14.331901625566299</v>
      </c>
      <c r="P53" s="29">
        <v>16.074415566126401</v>
      </c>
      <c r="Q53" s="29">
        <v>12.731544421852901</v>
      </c>
      <c r="R53" s="29">
        <v>20.583358723324199</v>
      </c>
      <c r="S53">
        <v>2.0030138524161498</v>
      </c>
      <c r="T53">
        <v>1.15774496668129</v>
      </c>
      <c r="U53">
        <v>2.3135336394457</v>
      </c>
      <c r="V53">
        <v>-0.45612798384810199</v>
      </c>
      <c r="W53">
        <v>-4.9906539171616702</v>
      </c>
      <c r="X53">
        <v>4.0783979494654599</v>
      </c>
      <c r="Y53">
        <v>52</v>
      </c>
    </row>
    <row r="54" spans="1:25" x14ac:dyDescent="0.3">
      <c r="A54">
        <v>21221</v>
      </c>
      <c r="B54">
        <v>221</v>
      </c>
      <c r="C54" t="s">
        <v>23</v>
      </c>
      <c r="D54" t="s">
        <v>13</v>
      </c>
      <c r="E54" t="s">
        <v>20</v>
      </c>
      <c r="F54" t="s">
        <v>18</v>
      </c>
      <c r="G54" t="s">
        <v>16</v>
      </c>
      <c r="H54">
        <v>0.16289592760180999</v>
      </c>
      <c r="I54" s="29">
        <f>Table3[[#This Row],[sedentarismo2]]*100</f>
        <v>16.289592760180998</v>
      </c>
      <c r="J54">
        <v>15.7928365522594</v>
      </c>
      <c r="K54">
        <v>12.1590354015269</v>
      </c>
      <c r="L54">
        <v>-1.65693954219833</v>
      </c>
      <c r="M54">
        <v>16.05049791954</v>
      </c>
      <c r="N54">
        <v>18.231398842393901</v>
      </c>
      <c r="O54">
        <v>13.946415820358901</v>
      </c>
      <c r="P54" s="29">
        <v>16.130889483403401</v>
      </c>
      <c r="Q54" s="29">
        <v>12.5314592144064</v>
      </c>
      <c r="R54" s="29">
        <v>21.0055398532871</v>
      </c>
      <c r="S54">
        <v>2.1617552650206</v>
      </c>
      <c r="T54">
        <v>1.0931079137844499</v>
      </c>
      <c r="U54">
        <v>2.4224101091727799</v>
      </c>
      <c r="V54">
        <v>8.0391563863401003E-2</v>
      </c>
      <c r="W54">
        <v>-4.6675322501152401</v>
      </c>
      <c r="X54">
        <v>4.8283153778420402</v>
      </c>
      <c r="Y54">
        <v>53</v>
      </c>
    </row>
    <row r="55" spans="1:25" x14ac:dyDescent="0.3">
      <c r="A55">
        <v>13222</v>
      </c>
      <c r="B55">
        <v>377</v>
      </c>
      <c r="C55" t="s">
        <v>12</v>
      </c>
      <c r="D55" t="s">
        <v>22</v>
      </c>
      <c r="E55" t="s">
        <v>20</v>
      </c>
      <c r="F55" t="s">
        <v>18</v>
      </c>
      <c r="G55" t="s">
        <v>17</v>
      </c>
      <c r="H55">
        <v>0.159151193633952</v>
      </c>
      <c r="I55" s="29">
        <f>Table3[[#This Row],[sedentarismo2]]*100</f>
        <v>15.915119363395199</v>
      </c>
      <c r="J55">
        <v>15.635319685342999</v>
      </c>
      <c r="K55">
        <v>12.1590354015269</v>
      </c>
      <c r="L55">
        <v>-1.5289753613452901</v>
      </c>
      <c r="M55">
        <v>17.752189582842</v>
      </c>
      <c r="N55">
        <v>20.198876375071201</v>
      </c>
      <c r="O55">
        <v>15.5316993133744</v>
      </c>
      <c r="P55" s="29">
        <v>16.493225286717902</v>
      </c>
      <c r="Q55" s="29">
        <v>13.224733746400601</v>
      </c>
      <c r="R55" s="29">
        <v>20.409435566170998</v>
      </c>
      <c r="S55">
        <v>1.8328320968802101</v>
      </c>
      <c r="T55">
        <v>1.19060639328999</v>
      </c>
      <c r="U55">
        <v>2.1855930726229298</v>
      </c>
      <c r="V55">
        <v>-1.2589642961241601</v>
      </c>
      <c r="W55">
        <v>-5.5427267184650999</v>
      </c>
      <c r="X55">
        <v>3.0247981262167798</v>
      </c>
      <c r="Y55">
        <v>54</v>
      </c>
    </row>
    <row r="56" spans="1:25" x14ac:dyDescent="0.3">
      <c r="A56">
        <v>21212</v>
      </c>
      <c r="B56">
        <v>338</v>
      </c>
      <c r="C56" t="s">
        <v>23</v>
      </c>
      <c r="D56" t="s">
        <v>13</v>
      </c>
      <c r="E56" t="s">
        <v>20</v>
      </c>
      <c r="F56" t="s">
        <v>14</v>
      </c>
      <c r="G56" t="s">
        <v>17</v>
      </c>
      <c r="H56">
        <v>0.171597633136095</v>
      </c>
      <c r="I56" s="29">
        <f>Table3[[#This Row],[sedentarismo2]]*100</f>
        <v>17.159763313609499</v>
      </c>
      <c r="J56">
        <v>16.759113767047602</v>
      </c>
      <c r="K56">
        <v>12.1590354015269</v>
      </c>
      <c r="L56">
        <v>-1.6718256911236</v>
      </c>
      <c r="M56">
        <v>15.789802905280499</v>
      </c>
      <c r="N56">
        <v>18.360621232150802</v>
      </c>
      <c r="O56">
        <v>13.800464773584901</v>
      </c>
      <c r="P56" s="29">
        <v>16.546912047321101</v>
      </c>
      <c r="Q56" s="29">
        <v>13.273985132991299</v>
      </c>
      <c r="R56" s="29">
        <v>20.831483415227101</v>
      </c>
      <c r="S56">
        <v>1.92793323526423</v>
      </c>
      <c r="T56">
        <v>1.16330521902191</v>
      </c>
      <c r="U56">
        <v>2.2517117027363902</v>
      </c>
      <c r="V56">
        <v>0.75710914204054802</v>
      </c>
      <c r="W56">
        <v>-3.65624579532279</v>
      </c>
      <c r="X56">
        <v>5.1704640794038799</v>
      </c>
      <c r="Y56">
        <v>55</v>
      </c>
    </row>
    <row r="57" spans="1:25" x14ac:dyDescent="0.3">
      <c r="A57">
        <v>13232</v>
      </c>
      <c r="B57">
        <v>543</v>
      </c>
      <c r="C57" t="s">
        <v>12</v>
      </c>
      <c r="D57" t="s">
        <v>22</v>
      </c>
      <c r="E57" t="s">
        <v>20</v>
      </c>
      <c r="F57" t="s">
        <v>19</v>
      </c>
      <c r="G57" t="s">
        <v>17</v>
      </c>
      <c r="H57">
        <v>0.16022099447513799</v>
      </c>
      <c r="I57" s="29">
        <f>Table3[[#This Row],[sedentarismo2]]*100</f>
        <v>16.022099447513799</v>
      </c>
      <c r="J57">
        <v>15.818630365509501</v>
      </c>
      <c r="K57">
        <v>12.1590354015269</v>
      </c>
      <c r="L57">
        <v>-1.5126217745520101</v>
      </c>
      <c r="M57">
        <v>18.047689198877499</v>
      </c>
      <c r="N57">
        <v>20.417064694471101</v>
      </c>
      <c r="O57">
        <v>15.9943923572897</v>
      </c>
      <c r="P57" s="29">
        <v>16.5767407829143</v>
      </c>
      <c r="Q57" s="29">
        <v>13.546634944253899</v>
      </c>
      <c r="R57" s="29">
        <v>20.271922954726001</v>
      </c>
      <c r="S57">
        <v>1.7156346965489999</v>
      </c>
      <c r="T57">
        <v>1.12823273907691</v>
      </c>
      <c r="U57">
        <v>2.0533659015206598</v>
      </c>
      <c r="V57">
        <v>-1.47094841596318</v>
      </c>
      <c r="W57">
        <v>-5.4955455829436799</v>
      </c>
      <c r="X57">
        <v>2.5536487510173198</v>
      </c>
      <c r="Y57">
        <v>56</v>
      </c>
    </row>
    <row r="58" spans="1:25" x14ac:dyDescent="0.3">
      <c r="A58">
        <v>21231</v>
      </c>
      <c r="B58">
        <v>336</v>
      </c>
      <c r="C58" t="s">
        <v>23</v>
      </c>
      <c r="D58" t="s">
        <v>13</v>
      </c>
      <c r="E58" t="s">
        <v>20</v>
      </c>
      <c r="F58" t="s">
        <v>19</v>
      </c>
      <c r="G58" t="s">
        <v>16</v>
      </c>
      <c r="H58">
        <v>0.175595238095238</v>
      </c>
      <c r="I58" s="29">
        <f>Table3[[#This Row],[sedentarismo2]]*100</f>
        <v>17.5595238095238</v>
      </c>
      <c r="J58">
        <v>17.1282699151215</v>
      </c>
      <c r="K58">
        <v>12.1590354015269</v>
      </c>
      <c r="L58">
        <v>-1.6405859554050499</v>
      </c>
      <c r="M58">
        <v>16.2710207377819</v>
      </c>
      <c r="N58">
        <v>18.617857777618699</v>
      </c>
      <c r="O58">
        <v>14.124947393953599</v>
      </c>
      <c r="P58" s="29">
        <v>17.096770641010899</v>
      </c>
      <c r="Q58" s="29">
        <v>13.458108773313</v>
      </c>
      <c r="R58" s="29">
        <v>21.229674815215901</v>
      </c>
      <c r="S58">
        <v>1.9825423576282799</v>
      </c>
      <c r="T58">
        <v>1.1461506080778301</v>
      </c>
      <c r="U58">
        <v>2.2900077327789701</v>
      </c>
      <c r="V58">
        <v>0.82574990322900299</v>
      </c>
      <c r="W58">
        <v>-3.6626652530177899</v>
      </c>
      <c r="X58">
        <v>5.3141650594757897</v>
      </c>
      <c r="Y58">
        <v>57</v>
      </c>
    </row>
    <row r="59" spans="1:25" x14ac:dyDescent="0.3">
      <c r="A59">
        <v>21222</v>
      </c>
      <c r="B59">
        <v>399</v>
      </c>
      <c r="C59" t="s">
        <v>23</v>
      </c>
      <c r="D59" t="s">
        <v>13</v>
      </c>
      <c r="E59" t="s">
        <v>20</v>
      </c>
      <c r="F59" t="s">
        <v>18</v>
      </c>
      <c r="G59" t="s">
        <v>17</v>
      </c>
      <c r="H59">
        <v>0.17042606516290701</v>
      </c>
      <c r="I59" s="29">
        <f>Table3[[#This Row],[sedentarismo2]]*100</f>
        <v>17.0426065162907</v>
      </c>
      <c r="J59">
        <v>16.706622024985201</v>
      </c>
      <c r="K59">
        <v>12.1590354015269</v>
      </c>
      <c r="L59">
        <v>-1.38026384830674</v>
      </c>
      <c r="M59">
        <v>20.084125813347999</v>
      </c>
      <c r="N59">
        <v>22.6165500133961</v>
      </c>
      <c r="O59">
        <v>17.613419341870099</v>
      </c>
      <c r="P59" s="29">
        <v>18.3103763802057</v>
      </c>
      <c r="Q59" s="29">
        <v>14.6477112373354</v>
      </c>
      <c r="R59" s="29">
        <v>22.1995768096455</v>
      </c>
      <c r="S59">
        <v>1.9264963194668601</v>
      </c>
      <c r="T59">
        <v>1.2763088447770501</v>
      </c>
      <c r="U59">
        <v>2.3109202357882199</v>
      </c>
      <c r="V59">
        <v>-1.7737494331422901</v>
      </c>
      <c r="W59">
        <v>-6.3031530952872004</v>
      </c>
      <c r="X59">
        <v>2.7556542290026198</v>
      </c>
      <c r="Y59">
        <v>58</v>
      </c>
    </row>
    <row r="60" spans="1:25" x14ac:dyDescent="0.3">
      <c r="A60">
        <v>22221</v>
      </c>
      <c r="B60">
        <v>171</v>
      </c>
      <c r="C60" t="s">
        <v>23</v>
      </c>
      <c r="D60" t="s">
        <v>21</v>
      </c>
      <c r="E60" t="s">
        <v>20</v>
      </c>
      <c r="F60" t="s">
        <v>18</v>
      </c>
      <c r="G60" t="s">
        <v>16</v>
      </c>
      <c r="H60">
        <v>0.21052631578947401</v>
      </c>
      <c r="I60" s="29">
        <f>Table3[[#This Row],[sedentarismo2]]*100</f>
        <v>21.052631578947402</v>
      </c>
      <c r="J60">
        <v>19.826123723126798</v>
      </c>
      <c r="K60">
        <v>12.1590354015269</v>
      </c>
      <c r="L60">
        <v>-1.6083177594671101</v>
      </c>
      <c r="M60">
        <v>16.720260215712699</v>
      </c>
      <c r="N60">
        <v>19.157788976497301</v>
      </c>
      <c r="O60">
        <v>14.4677898710055</v>
      </c>
      <c r="P60" s="29">
        <v>18.439613146187</v>
      </c>
      <c r="Q60" s="29">
        <v>14.297825543126899</v>
      </c>
      <c r="R60" s="29">
        <v>23.129522636805302</v>
      </c>
      <c r="S60">
        <v>2.2529839524689801</v>
      </c>
      <c r="T60">
        <v>1.1964283432377001</v>
      </c>
      <c r="U60">
        <v>2.55095618750798</v>
      </c>
      <c r="V60">
        <v>1.71935293047434</v>
      </c>
      <c r="W60">
        <v>-3.2805211970412902</v>
      </c>
      <c r="X60">
        <v>6.7192270579899702</v>
      </c>
      <c r="Y60">
        <v>59</v>
      </c>
    </row>
    <row r="61" spans="1:25" x14ac:dyDescent="0.3">
      <c r="A61">
        <v>23211</v>
      </c>
      <c r="B61">
        <v>130</v>
      </c>
      <c r="C61" t="s">
        <v>23</v>
      </c>
      <c r="D61" t="s">
        <v>22</v>
      </c>
      <c r="E61" t="s">
        <v>20</v>
      </c>
      <c r="F61" t="s">
        <v>14</v>
      </c>
      <c r="G61" t="s">
        <v>16</v>
      </c>
      <c r="H61">
        <v>0.19230769230769201</v>
      </c>
      <c r="I61" s="29">
        <f>Table3[[#This Row],[sedentarismo2]]*100</f>
        <v>19.230769230769202</v>
      </c>
      <c r="J61">
        <v>17.956855570498799</v>
      </c>
      <c r="K61">
        <v>12.1590354015269</v>
      </c>
      <c r="L61">
        <v>-1.45260960347225</v>
      </c>
      <c r="M61">
        <v>18.9293050656436</v>
      </c>
      <c r="N61">
        <v>21.851382377962601</v>
      </c>
      <c r="O61">
        <v>16.427497411778202</v>
      </c>
      <c r="P61" s="29">
        <v>18.909700314044201</v>
      </c>
      <c r="Q61" s="29">
        <v>14.7435874838985</v>
      </c>
      <c r="R61" s="29">
        <v>23.838293336937301</v>
      </c>
      <c r="S61">
        <v>2.3200780237343999</v>
      </c>
      <c r="T61">
        <v>1.3836441240266399</v>
      </c>
      <c r="U61">
        <v>2.7013391305366898</v>
      </c>
      <c r="V61">
        <v>-1.9604751599384702E-2</v>
      </c>
      <c r="W61">
        <v>-5.3142294474513001</v>
      </c>
      <c r="X61">
        <v>5.2750199442525396</v>
      </c>
      <c r="Y61">
        <v>60</v>
      </c>
    </row>
    <row r="62" spans="1:25" x14ac:dyDescent="0.3">
      <c r="A62">
        <v>23112</v>
      </c>
      <c r="B62">
        <v>195</v>
      </c>
      <c r="C62" t="s">
        <v>23</v>
      </c>
      <c r="D62" t="s">
        <v>22</v>
      </c>
      <c r="E62" t="s">
        <v>15</v>
      </c>
      <c r="F62" t="s">
        <v>14</v>
      </c>
      <c r="G62" t="s">
        <v>17</v>
      </c>
      <c r="H62">
        <v>0.241025641025641</v>
      </c>
      <c r="I62" s="29">
        <f>Table3[[#This Row],[sedentarismo2]]*100</f>
        <v>24.102564102564099</v>
      </c>
      <c r="J62">
        <v>22.707633756186301</v>
      </c>
      <c r="K62">
        <v>12.1590354015269</v>
      </c>
      <c r="L62">
        <v>-1.6558041086169899</v>
      </c>
      <c r="M62">
        <v>16.023951474345999</v>
      </c>
      <c r="N62">
        <v>18.435742032632302</v>
      </c>
      <c r="O62">
        <v>13.8832451891791</v>
      </c>
      <c r="P62" s="29">
        <v>19.4672498760733</v>
      </c>
      <c r="Q62" s="29">
        <v>15.5256438000266</v>
      </c>
      <c r="R62" s="29">
        <v>24.411234545626101</v>
      </c>
      <c r="S62">
        <v>2.26673233306107</v>
      </c>
      <c r="T62">
        <v>1.1613512355748099</v>
      </c>
      <c r="U62">
        <v>2.54692209580812</v>
      </c>
      <c r="V62">
        <v>3.44329840172735</v>
      </c>
      <c r="W62">
        <v>-1.5486689060565699</v>
      </c>
      <c r="X62">
        <v>8.4352657095112704</v>
      </c>
      <c r="Y62">
        <v>61</v>
      </c>
    </row>
    <row r="63" spans="1:25" x14ac:dyDescent="0.3">
      <c r="A63">
        <v>21232</v>
      </c>
      <c r="B63">
        <v>544</v>
      </c>
      <c r="C63" t="s">
        <v>23</v>
      </c>
      <c r="D63" t="s">
        <v>13</v>
      </c>
      <c r="E63" t="s">
        <v>20</v>
      </c>
      <c r="F63" t="s">
        <v>19</v>
      </c>
      <c r="G63" t="s">
        <v>17</v>
      </c>
      <c r="H63">
        <v>0.191176470588235</v>
      </c>
      <c r="I63" s="29">
        <f>Table3[[#This Row],[sedentarismo2]]*100</f>
        <v>19.117647058823501</v>
      </c>
      <c r="J63">
        <v>18.776875492842201</v>
      </c>
      <c r="K63">
        <v>12.1590354015269</v>
      </c>
      <c r="L63">
        <v>-1.36391026151346</v>
      </c>
      <c r="M63">
        <v>20.3852562612282</v>
      </c>
      <c r="N63">
        <v>23.0579206566929</v>
      </c>
      <c r="O63">
        <v>17.940833850053298</v>
      </c>
      <c r="P63" s="29">
        <v>19.5580926823807</v>
      </c>
      <c r="Q63" s="29">
        <v>16.2895498697095</v>
      </c>
      <c r="R63" s="29">
        <v>23.317338027969502</v>
      </c>
      <c r="S63">
        <v>1.7928031015969299</v>
      </c>
      <c r="T63">
        <v>1.3053792874080501</v>
      </c>
      <c r="U63">
        <v>2.2176920537102398</v>
      </c>
      <c r="V63">
        <v>-0.82716357884744696</v>
      </c>
      <c r="W63">
        <v>-5.1738400041195103</v>
      </c>
      <c r="X63">
        <v>3.5195128464246199</v>
      </c>
      <c r="Y63">
        <v>62</v>
      </c>
    </row>
    <row r="64" spans="1:25" x14ac:dyDescent="0.3">
      <c r="A64">
        <v>22231</v>
      </c>
      <c r="B64">
        <v>282</v>
      </c>
      <c r="C64" t="s">
        <v>23</v>
      </c>
      <c r="D64" t="s">
        <v>21</v>
      </c>
      <c r="E64" t="s">
        <v>20</v>
      </c>
      <c r="F64" t="s">
        <v>19</v>
      </c>
      <c r="G64" t="s">
        <v>16</v>
      </c>
      <c r="H64">
        <v>0.22340425531914901</v>
      </c>
      <c r="I64" s="29">
        <f>Table3[[#This Row],[sedentarismo2]]*100</f>
        <v>22.340425531914899</v>
      </c>
      <c r="J64">
        <v>21.468179281767299</v>
      </c>
      <c r="K64">
        <v>12.1590354015269</v>
      </c>
      <c r="L64">
        <v>-1.5919641726738301</v>
      </c>
      <c r="M64">
        <v>16.9681195164126</v>
      </c>
      <c r="N64">
        <v>19.432130152225</v>
      </c>
      <c r="O64">
        <v>14.783504593347001</v>
      </c>
      <c r="P64" s="29">
        <v>19.815934120902099</v>
      </c>
      <c r="Q64" s="29">
        <v>15.8350250611976</v>
      </c>
      <c r="R64" s="29">
        <v>24.727135122000298</v>
      </c>
      <c r="S64">
        <v>2.2683954236741601</v>
      </c>
      <c r="T64">
        <v>1.1858738670607001</v>
      </c>
      <c r="U64">
        <v>2.5596708043659402</v>
      </c>
      <c r="V64">
        <v>2.8478146044895798</v>
      </c>
      <c r="W64">
        <v>-2.16914017206767</v>
      </c>
      <c r="X64">
        <v>7.8647693810468304</v>
      </c>
      <c r="Y64">
        <v>63</v>
      </c>
    </row>
    <row r="65" spans="1:25" x14ac:dyDescent="0.3">
      <c r="A65">
        <v>22222</v>
      </c>
      <c r="B65">
        <v>336</v>
      </c>
      <c r="C65" t="s">
        <v>23</v>
      </c>
      <c r="D65" t="s">
        <v>21</v>
      </c>
      <c r="E65" t="s">
        <v>20</v>
      </c>
      <c r="F65" t="s">
        <v>18</v>
      </c>
      <c r="G65" t="s">
        <v>17</v>
      </c>
      <c r="H65">
        <v>0.20535714285714299</v>
      </c>
      <c r="I65" s="29">
        <f>Table3[[#This Row],[sedentarismo2]]*100</f>
        <v>20.535714285714299</v>
      </c>
      <c r="J65">
        <v>19.906104783829502</v>
      </c>
      <c r="K65">
        <v>12.1590354015269</v>
      </c>
      <c r="L65">
        <v>-1.3316420655755301</v>
      </c>
      <c r="M65">
        <v>20.900242908876301</v>
      </c>
      <c r="N65">
        <v>23.650949753986801</v>
      </c>
      <c r="O65">
        <v>18.173182661806599</v>
      </c>
      <c r="P65" s="29">
        <v>20.510127072497198</v>
      </c>
      <c r="Q65" s="29">
        <v>16.847363359131499</v>
      </c>
      <c r="R65" s="29">
        <v>24.945857435248701</v>
      </c>
      <c r="S65">
        <v>2.0659423663564298</v>
      </c>
      <c r="T65">
        <v>1.3973895643316701</v>
      </c>
      <c r="U65">
        <v>2.49415626126541</v>
      </c>
      <c r="V65">
        <v>-0.390115836379128</v>
      </c>
      <c r="W65">
        <v>-5.2786621084593301</v>
      </c>
      <c r="X65">
        <v>4.4984304357010796</v>
      </c>
      <c r="Y65">
        <v>64</v>
      </c>
    </row>
    <row r="66" spans="1:25" x14ac:dyDescent="0.3">
      <c r="A66">
        <v>22232</v>
      </c>
      <c r="B66">
        <v>472</v>
      </c>
      <c r="C66" t="s">
        <v>23</v>
      </c>
      <c r="D66" t="s">
        <v>21</v>
      </c>
      <c r="E66" t="s">
        <v>20</v>
      </c>
      <c r="F66" t="s">
        <v>19</v>
      </c>
      <c r="G66" t="s">
        <v>17</v>
      </c>
      <c r="H66">
        <v>0.21186440677966101</v>
      </c>
      <c r="I66" s="29">
        <f>Table3[[#This Row],[sedentarismo2]]*100</f>
        <v>21.1864406779661</v>
      </c>
      <c r="J66">
        <v>20.700638499279599</v>
      </c>
      <c r="K66">
        <v>12.1590354015269</v>
      </c>
      <c r="L66">
        <v>-1.3152884787822501</v>
      </c>
      <c r="M66">
        <v>21.210068859487698</v>
      </c>
      <c r="N66">
        <v>23.9513921637495</v>
      </c>
      <c r="O66">
        <v>18.792446783260299</v>
      </c>
      <c r="P66" s="29">
        <v>21.245155193705099</v>
      </c>
      <c r="Q66" s="29">
        <v>17.545827040103699</v>
      </c>
      <c r="R66" s="29">
        <v>25.786444877101701</v>
      </c>
      <c r="S66">
        <v>2.1021984278056101</v>
      </c>
      <c r="T66">
        <v>1.3160574950227599</v>
      </c>
      <c r="U66">
        <v>2.48017046996249</v>
      </c>
      <c r="V66">
        <v>3.5086334217439202E-2</v>
      </c>
      <c r="W66">
        <v>-4.8260477869090401</v>
      </c>
      <c r="X66">
        <v>4.8962204553439097</v>
      </c>
      <c r="Y66">
        <v>65</v>
      </c>
    </row>
    <row r="67" spans="1:25" x14ac:dyDescent="0.3">
      <c r="A67">
        <v>23132</v>
      </c>
      <c r="B67">
        <v>470</v>
      </c>
      <c r="C67" t="s">
        <v>23</v>
      </c>
      <c r="D67" t="s">
        <v>22</v>
      </c>
      <c r="E67" t="s">
        <v>15</v>
      </c>
      <c r="F67" t="s">
        <v>19</v>
      </c>
      <c r="G67" t="s">
        <v>17</v>
      </c>
      <c r="H67">
        <v>0.23404255319148901</v>
      </c>
      <c r="I67" s="29">
        <f>Table3[[#This Row],[sedentarismo2]]*100</f>
        <v>23.404255319148902</v>
      </c>
      <c r="J67">
        <v>22.820567888177099</v>
      </c>
      <c r="K67">
        <v>12.1590354015269</v>
      </c>
      <c r="L67">
        <v>-1.34788867900686</v>
      </c>
      <c r="M67">
        <v>20.610786431712501</v>
      </c>
      <c r="N67">
        <v>23.225248619914801</v>
      </c>
      <c r="O67">
        <v>18.2489956922097</v>
      </c>
      <c r="P67" s="29">
        <v>22.5767208337056</v>
      </c>
      <c r="Q67" s="29">
        <v>18.477016401436</v>
      </c>
      <c r="R67" s="29">
        <v>26.679445797071299</v>
      </c>
      <c r="S67">
        <v>2.0924564784783999</v>
      </c>
      <c r="T67">
        <v>1.2694522774757699</v>
      </c>
      <c r="U67">
        <v>2.4474237882137699</v>
      </c>
      <c r="V67">
        <v>1.96593440199312</v>
      </c>
      <c r="W67">
        <v>-2.8310162229058702</v>
      </c>
      <c r="X67">
        <v>6.7628850268921203</v>
      </c>
      <c r="Y67">
        <v>66</v>
      </c>
    </row>
    <row r="68" spans="1:25" x14ac:dyDescent="0.3">
      <c r="A68">
        <v>23212</v>
      </c>
      <c r="B68">
        <v>314</v>
      </c>
      <c r="C68" t="s">
        <v>23</v>
      </c>
      <c r="D68" t="s">
        <v>22</v>
      </c>
      <c r="E68" t="s">
        <v>20</v>
      </c>
      <c r="F68" t="s">
        <v>14</v>
      </c>
      <c r="G68" t="s">
        <v>17</v>
      </c>
      <c r="H68">
        <v>0.22292993630573199</v>
      </c>
      <c r="I68" s="29">
        <f>Table3[[#This Row],[sedentarismo2]]*100</f>
        <v>22.2929936305732</v>
      </c>
      <c r="J68">
        <v>21.506990538512198</v>
      </c>
      <c r="K68">
        <v>12.1590354015269</v>
      </c>
      <c r="L68">
        <v>-1.17593390958067</v>
      </c>
      <c r="M68">
        <v>23.5435759173942</v>
      </c>
      <c r="N68">
        <v>26.425866727317299</v>
      </c>
      <c r="O68">
        <v>20.855111198347998</v>
      </c>
      <c r="P68" s="29">
        <v>22.786956226844801</v>
      </c>
      <c r="Q68" s="29">
        <v>18.391218011460499</v>
      </c>
      <c r="R68" s="29">
        <v>27.7724052002572</v>
      </c>
      <c r="S68">
        <v>2.3931599971420101</v>
      </c>
      <c r="T68">
        <v>1.42111110432889</v>
      </c>
      <c r="U68">
        <v>2.7833022729785601</v>
      </c>
      <c r="V68">
        <v>-0.75661969054941003</v>
      </c>
      <c r="W68">
        <v>-6.2118921455873899</v>
      </c>
      <c r="X68">
        <v>4.6986527644885703</v>
      </c>
      <c r="Y68">
        <v>67</v>
      </c>
    </row>
    <row r="69" spans="1:25" x14ac:dyDescent="0.3">
      <c r="A69" s="2">
        <v>23221</v>
      </c>
      <c r="B69" s="2">
        <v>157</v>
      </c>
      <c r="C69" s="2" t="s">
        <v>23</v>
      </c>
      <c r="D69" s="2" t="s">
        <v>22</v>
      </c>
      <c r="E69" s="2" t="s">
        <v>20</v>
      </c>
      <c r="F69" s="2" t="s">
        <v>18</v>
      </c>
      <c r="G69" s="2" t="s">
        <v>16</v>
      </c>
      <c r="H69" s="2">
        <v>0.22929936305732501</v>
      </c>
      <c r="I69" s="30">
        <f>Table3[[#This Row],[sedentarismo2]]*100</f>
        <v>22.9299363057325</v>
      </c>
      <c r="J69" s="2">
        <v>21.3758536794377</v>
      </c>
      <c r="K69" s="2">
        <v>12.1590354015269</v>
      </c>
      <c r="L69" s="2">
        <v>-1.1610477606553999</v>
      </c>
      <c r="M69" s="2">
        <v>23.867140248126599</v>
      </c>
      <c r="N69" s="2">
        <v>26.8313070918867</v>
      </c>
      <c r="O69" s="2">
        <v>20.758025372540398</v>
      </c>
      <c r="P69" s="30">
        <v>23.3837031842281</v>
      </c>
      <c r="Q69" s="30">
        <v>18.4252391722788</v>
      </c>
      <c r="R69" s="30">
        <v>29.028276174437199</v>
      </c>
      <c r="S69" s="2">
        <v>2.7048563781016202</v>
      </c>
      <c r="T69" s="2">
        <v>1.5493065610577199</v>
      </c>
      <c r="U69" s="2">
        <v>3.1171459456197201</v>
      </c>
      <c r="V69" s="2">
        <v>-0.48343706389854202</v>
      </c>
      <c r="W69" s="2">
        <v>-6.5930431173131998</v>
      </c>
      <c r="X69" s="2">
        <v>5.6261689895161204</v>
      </c>
      <c r="Y69" s="2">
        <v>68</v>
      </c>
    </row>
    <row r="70" spans="1:25" x14ac:dyDescent="0.3">
      <c r="A70" s="2">
        <v>23122</v>
      </c>
      <c r="B70" s="2">
        <v>246</v>
      </c>
      <c r="C70" s="2" t="s">
        <v>23</v>
      </c>
      <c r="D70" s="2" t="s">
        <v>22</v>
      </c>
      <c r="E70" s="2" t="s">
        <v>15</v>
      </c>
      <c r="F70" s="2" t="s">
        <v>18</v>
      </c>
      <c r="G70" s="2" t="s">
        <v>17</v>
      </c>
      <c r="H70" s="2">
        <v>0.276422764227642</v>
      </c>
      <c r="I70" s="30">
        <f>Table3[[#This Row],[sedentarismo2]]*100</f>
        <v>27.642276422764201</v>
      </c>
      <c r="J70" s="2">
        <v>26.254286056149802</v>
      </c>
      <c r="K70" s="2">
        <v>12.1590354015269</v>
      </c>
      <c r="L70" s="2">
        <v>-1.3642422658001401</v>
      </c>
      <c r="M70" s="2">
        <v>20.301604589325201</v>
      </c>
      <c r="N70" s="2">
        <v>22.765363912550399</v>
      </c>
      <c r="O70" s="2">
        <v>17.868963539910101</v>
      </c>
      <c r="P70" s="30">
        <v>24.2255532699638</v>
      </c>
      <c r="Q70" s="30">
        <v>19.5494206474905</v>
      </c>
      <c r="R70" s="30">
        <v>29.482716426416999</v>
      </c>
      <c r="S70" s="2">
        <v>2.53400402523636</v>
      </c>
      <c r="T70" s="2">
        <v>1.24908172771436</v>
      </c>
      <c r="U70" s="2">
        <v>2.82513390168041</v>
      </c>
      <c r="V70" s="2">
        <v>3.9239486806385901</v>
      </c>
      <c r="W70" s="2">
        <v>-1.6133137666550099</v>
      </c>
      <c r="X70" s="2">
        <v>9.4612111279321898</v>
      </c>
      <c r="Y70" s="2">
        <v>69</v>
      </c>
    </row>
    <row r="71" spans="1:25" x14ac:dyDescent="0.3">
      <c r="A71" s="2">
        <v>23231</v>
      </c>
      <c r="B71" s="2">
        <v>249</v>
      </c>
      <c r="C71" s="2" t="s">
        <v>23</v>
      </c>
      <c r="D71" s="2" t="s">
        <v>22</v>
      </c>
      <c r="E71" s="2" t="s">
        <v>20</v>
      </c>
      <c r="F71" s="2" t="s">
        <v>19</v>
      </c>
      <c r="G71" s="2" t="s">
        <v>16</v>
      </c>
      <c r="H71" s="2">
        <v>0.27710843373493999</v>
      </c>
      <c r="I71" s="30">
        <f>Table3[[#This Row],[sedentarismo2]]*100</f>
        <v>27.710843373493997</v>
      </c>
      <c r="J71" s="2">
        <v>26.3336326508614</v>
      </c>
      <c r="K71" s="2">
        <v>12.1590354015269</v>
      </c>
      <c r="L71" s="2">
        <v>-1.1446941738621199</v>
      </c>
      <c r="M71" s="2">
        <v>24.231906914242298</v>
      </c>
      <c r="N71" s="2">
        <v>27.2099907893151</v>
      </c>
      <c r="O71" s="2">
        <v>21.1750307373627</v>
      </c>
      <c r="P71" s="30">
        <v>26.076964328873601</v>
      </c>
      <c r="Q71" s="30">
        <v>21.297945732926902</v>
      </c>
      <c r="R71" s="30">
        <v>31.7484952096226</v>
      </c>
      <c r="S71" s="2">
        <v>2.6659564991570801</v>
      </c>
      <c r="T71" s="2">
        <v>1.5395306254980601</v>
      </c>
      <c r="U71" s="2">
        <v>3.0785513804782201</v>
      </c>
      <c r="V71" s="2">
        <v>1.8450574146312699</v>
      </c>
      <c r="W71" s="2">
        <v>-4.1889032911060404</v>
      </c>
      <c r="X71" s="2">
        <v>7.8790181203685696</v>
      </c>
      <c r="Y71" s="2">
        <v>70</v>
      </c>
    </row>
    <row r="72" spans="1:25" x14ac:dyDescent="0.3">
      <c r="A72" s="2">
        <v>23222</v>
      </c>
      <c r="B72" s="2">
        <v>351</v>
      </c>
      <c r="C72" s="2" t="s">
        <v>23</v>
      </c>
      <c r="D72" s="2" t="s">
        <v>22</v>
      </c>
      <c r="E72" s="2" t="s">
        <v>20</v>
      </c>
      <c r="F72" s="2" t="s">
        <v>18</v>
      </c>
      <c r="G72" s="2" t="s">
        <v>17</v>
      </c>
      <c r="H72" s="2">
        <v>0.321937321937322</v>
      </c>
      <c r="I72" s="30">
        <f>Table3[[#This Row],[sedentarismo2]]*100</f>
        <v>32.193732193732203</v>
      </c>
      <c r="J72" s="2">
        <v>30.982209381481699</v>
      </c>
      <c r="K72" s="2">
        <v>12.1590354015269</v>
      </c>
      <c r="L72" s="2">
        <v>-0.88437206676381397</v>
      </c>
      <c r="M72" s="2">
        <v>29.202256221519502</v>
      </c>
      <c r="N72" s="2">
        <v>32.3398979863723</v>
      </c>
      <c r="O72" s="2">
        <v>25.911587849766502</v>
      </c>
      <c r="P72" s="30">
        <v>31.262096754752399</v>
      </c>
      <c r="Q72" s="30">
        <v>26.298132537779601</v>
      </c>
      <c r="R72" s="30">
        <v>36.095992590823002</v>
      </c>
      <c r="S72" s="2">
        <v>2.49945409516411</v>
      </c>
      <c r="T72" s="2">
        <v>1.6398750348484401</v>
      </c>
      <c r="U72" s="2">
        <v>2.9893913935367902</v>
      </c>
      <c r="V72" s="2">
        <v>2.0598405332329901</v>
      </c>
      <c r="W72" s="2">
        <v>-3.79936659809912</v>
      </c>
      <c r="X72" s="2">
        <v>7.91904766456509</v>
      </c>
      <c r="Y72" s="2">
        <v>71</v>
      </c>
    </row>
    <row r="73" spans="1:25" x14ac:dyDescent="0.3">
      <c r="A73" s="2">
        <v>23232</v>
      </c>
      <c r="B73" s="2">
        <v>503</v>
      </c>
      <c r="C73" s="2" t="s">
        <v>23</v>
      </c>
      <c r="D73" s="2" t="s">
        <v>22</v>
      </c>
      <c r="E73" s="2" t="s">
        <v>20</v>
      </c>
      <c r="F73" s="2" t="s">
        <v>19</v>
      </c>
      <c r="G73" s="2" t="s">
        <v>17</v>
      </c>
      <c r="H73" s="2">
        <v>0.32405566600397601</v>
      </c>
      <c r="I73" s="30">
        <f>Table3[[#This Row],[sedentarismo2]]*100</f>
        <v>32.405566600397599</v>
      </c>
      <c r="J73" s="2">
        <v>31.541448804168301</v>
      </c>
      <c r="K73" s="2">
        <v>12.1590354015269</v>
      </c>
      <c r="L73" s="2">
        <v>-0.86801847997053305</v>
      </c>
      <c r="M73" s="2">
        <v>29.5864840964439</v>
      </c>
      <c r="N73" s="2">
        <v>32.803926730313599</v>
      </c>
      <c r="O73" s="2">
        <v>26.426260159443</v>
      </c>
      <c r="P73" s="30">
        <v>31.716860302513499</v>
      </c>
      <c r="Q73" s="30">
        <v>27.311141441408498</v>
      </c>
      <c r="R73" s="30">
        <v>36.565044986827303</v>
      </c>
      <c r="S73" s="2">
        <v>2.3606896799537802</v>
      </c>
      <c r="T73" s="2">
        <v>1.6269557578751599</v>
      </c>
      <c r="U73" s="2">
        <v>2.8670264740883402</v>
      </c>
      <c r="V73" s="2">
        <v>2.1303762060696401</v>
      </c>
      <c r="W73" s="2">
        <v>-3.4889956831435001</v>
      </c>
      <c r="X73" s="2">
        <v>7.7497480952827802</v>
      </c>
      <c r="Y73" s="2">
        <v>72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workbookViewId="0">
      <selection activeCell="N15" sqref="N15"/>
    </sheetView>
  </sheetViews>
  <sheetFormatPr baseColWidth="10" defaultColWidth="8.88671875" defaultRowHeight="14.4" x14ac:dyDescent="0.3"/>
  <cols>
    <col min="1" max="1" width="9.5546875" customWidth="1"/>
    <col min="2" max="2" width="9.33203125" customWidth="1"/>
    <col min="3" max="3" width="8.6640625" customWidth="1"/>
    <col min="4" max="4" width="11.6640625" customWidth="1"/>
    <col min="5" max="6" width="9.33203125" customWidth="1"/>
    <col min="7" max="7" width="9.5546875" customWidth="1"/>
    <col min="8" max="8" width="15.44140625" customWidth="1"/>
    <col min="9" max="9" width="13.33203125" customWidth="1"/>
    <col min="10" max="10" width="6.6640625" customWidth="1"/>
    <col min="11" max="11" width="9" customWidth="1"/>
    <col min="12" max="12" width="8.88671875" customWidth="1"/>
    <col min="16" max="16" width="7.33203125" bestFit="1" customWidth="1"/>
    <col min="17" max="17" width="12.88671875" bestFit="1" customWidth="1"/>
  </cols>
  <sheetData>
    <row r="1" spans="1:27" x14ac:dyDescent="0.3">
      <c r="A1" t="s">
        <v>0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P1" t="s">
        <v>44</v>
      </c>
    </row>
    <row r="2" spans="1:27" x14ac:dyDescent="0.3">
      <c r="A2" s="1">
        <v>21132</v>
      </c>
      <c r="B2" s="1">
        <v>514</v>
      </c>
      <c r="C2" s="1" t="s">
        <v>23</v>
      </c>
      <c r="D2" s="1" t="s">
        <v>13</v>
      </c>
      <c r="E2" s="1" t="s">
        <v>19</v>
      </c>
      <c r="F2" s="1" t="s">
        <v>15</v>
      </c>
      <c r="G2" s="1" t="s">
        <v>17</v>
      </c>
      <c r="H2" s="1">
        <v>-2.52606903802547</v>
      </c>
      <c r="I2" s="1">
        <v>1.17407199698832</v>
      </c>
      <c r="J2" s="1">
        <v>1</v>
      </c>
      <c r="K2" s="1">
        <v>-0.22488792392837101</v>
      </c>
      <c r="L2" s="1">
        <v>-4.8272501521225797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3">
      <c r="A3" s="1">
        <v>13212</v>
      </c>
      <c r="B3" s="1">
        <v>347</v>
      </c>
      <c r="C3" s="1" t="s">
        <v>12</v>
      </c>
      <c r="D3" s="1" t="s">
        <v>22</v>
      </c>
      <c r="E3" s="1" t="s">
        <v>14</v>
      </c>
      <c r="F3" s="1" t="s">
        <v>20</v>
      </c>
      <c r="G3" s="1" t="s">
        <v>17</v>
      </c>
      <c r="H3" s="1">
        <v>-2.4108713932964498</v>
      </c>
      <c r="I3" s="1">
        <v>1.3471252782499401</v>
      </c>
      <c r="J3" s="1">
        <v>2</v>
      </c>
      <c r="K3" s="1">
        <v>0.22949415207342699</v>
      </c>
      <c r="L3" s="1">
        <v>-5.0512369386663201</v>
      </c>
    </row>
    <row r="4" spans="1:27" x14ac:dyDescent="0.3">
      <c r="A4" s="1">
        <v>12222</v>
      </c>
      <c r="B4" s="1">
        <v>364</v>
      </c>
      <c r="C4" s="1" t="s">
        <v>12</v>
      </c>
      <c r="D4" s="1" t="s">
        <v>21</v>
      </c>
      <c r="E4" s="1" t="s">
        <v>18</v>
      </c>
      <c r="F4" s="1" t="s">
        <v>20</v>
      </c>
      <c r="G4" s="1" t="s">
        <v>17</v>
      </c>
      <c r="H4" s="1">
        <v>-2.3686162924489298</v>
      </c>
      <c r="I4" s="1">
        <v>1.17017911932356</v>
      </c>
      <c r="J4" s="1">
        <v>3</v>
      </c>
      <c r="K4" s="1">
        <v>-7.50652185747578E-2</v>
      </c>
      <c r="L4" s="1">
        <v>-4.6621673663231098</v>
      </c>
      <c r="P4" t="s">
        <v>45</v>
      </c>
    </row>
    <row r="5" spans="1:27" x14ac:dyDescent="0.3">
      <c r="A5" s="1">
        <v>21222</v>
      </c>
      <c r="B5" s="1">
        <v>399</v>
      </c>
      <c r="C5" s="1" t="s">
        <v>23</v>
      </c>
      <c r="D5" s="1" t="s">
        <v>13</v>
      </c>
      <c r="E5" s="1" t="s">
        <v>18</v>
      </c>
      <c r="F5" s="1" t="s">
        <v>20</v>
      </c>
      <c r="G5" s="1" t="s">
        <v>17</v>
      </c>
      <c r="H5" s="1">
        <v>-1.8354312986558701</v>
      </c>
      <c r="I5" s="1">
        <v>2.0002045878007801</v>
      </c>
      <c r="J5" s="1">
        <v>4</v>
      </c>
      <c r="K5" s="1">
        <v>2.0849696934336501</v>
      </c>
      <c r="L5" s="1">
        <v>-5.7558322907454</v>
      </c>
      <c r="P5" t="s">
        <v>0</v>
      </c>
      <c r="Q5" t="s">
        <v>1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8</v>
      </c>
      <c r="Y5" t="s">
        <v>9</v>
      </c>
      <c r="Z5" t="s">
        <v>10</v>
      </c>
      <c r="AA5" t="s">
        <v>11</v>
      </c>
    </row>
    <row r="6" spans="1:27" x14ac:dyDescent="0.3">
      <c r="A6" s="1">
        <v>23131</v>
      </c>
      <c r="B6" s="1">
        <v>222</v>
      </c>
      <c r="C6" s="1" t="s">
        <v>23</v>
      </c>
      <c r="D6" s="1" t="s">
        <v>22</v>
      </c>
      <c r="E6" s="1" t="s">
        <v>19</v>
      </c>
      <c r="F6" s="1" t="s">
        <v>15</v>
      </c>
      <c r="G6" s="1" t="s">
        <v>16</v>
      </c>
      <c r="H6" s="1">
        <v>-1.3606096449995999</v>
      </c>
      <c r="I6" s="1">
        <v>1.7928492962765099</v>
      </c>
      <c r="J6" s="1">
        <v>5</v>
      </c>
      <c r="K6" s="1">
        <v>2.1533749757023499</v>
      </c>
      <c r="L6" s="1">
        <v>-4.8745942657015604</v>
      </c>
      <c r="P6">
        <v>12222</v>
      </c>
      <c r="Q6">
        <v>-2.3686162924489298</v>
      </c>
      <c r="R6">
        <v>1.17017911932356</v>
      </c>
      <c r="S6">
        <v>3</v>
      </c>
      <c r="T6">
        <v>-7.50652185747578E-2</v>
      </c>
      <c r="U6">
        <v>-4.6621673663231098</v>
      </c>
      <c r="V6" t="s">
        <v>12</v>
      </c>
      <c r="W6" t="s">
        <v>21</v>
      </c>
      <c r="X6" t="s">
        <v>18</v>
      </c>
      <c r="Y6" t="s">
        <v>20</v>
      </c>
      <c r="Z6" t="s">
        <v>17</v>
      </c>
      <c r="AA6">
        <v>364</v>
      </c>
    </row>
    <row r="7" spans="1:27" x14ac:dyDescent="0.3">
      <c r="A7">
        <v>13232</v>
      </c>
      <c r="B7">
        <v>543</v>
      </c>
      <c r="C7" t="s">
        <v>12</v>
      </c>
      <c r="D7" t="s">
        <v>22</v>
      </c>
      <c r="E7" t="s">
        <v>19</v>
      </c>
      <c r="F7" t="s">
        <v>20</v>
      </c>
      <c r="G7" t="s">
        <v>17</v>
      </c>
      <c r="H7">
        <v>-1.25246823833572</v>
      </c>
      <c r="I7">
        <v>1.6824428832960201</v>
      </c>
      <c r="J7">
        <v>6</v>
      </c>
      <c r="K7">
        <v>2.0451198129244799</v>
      </c>
      <c r="L7">
        <v>-4.55005628959593</v>
      </c>
      <c r="P7">
        <v>21132</v>
      </c>
      <c r="Q7">
        <v>-2.52606903802547</v>
      </c>
      <c r="R7">
        <v>1.17407199698832</v>
      </c>
      <c r="S7">
        <v>1</v>
      </c>
      <c r="T7">
        <v>-0.22488792392837101</v>
      </c>
      <c r="U7">
        <v>-4.8272501521225797</v>
      </c>
      <c r="V7" t="s">
        <v>23</v>
      </c>
      <c r="W7" t="s">
        <v>13</v>
      </c>
      <c r="X7" t="s">
        <v>19</v>
      </c>
      <c r="Y7" t="s">
        <v>15</v>
      </c>
      <c r="Z7" t="s">
        <v>17</v>
      </c>
      <c r="AA7">
        <v>514</v>
      </c>
    </row>
    <row r="8" spans="1:27" x14ac:dyDescent="0.3">
      <c r="A8">
        <v>13222</v>
      </c>
      <c r="B8">
        <v>377</v>
      </c>
      <c r="C8" t="s">
        <v>12</v>
      </c>
      <c r="D8" t="s">
        <v>22</v>
      </c>
      <c r="E8" t="s">
        <v>18</v>
      </c>
      <c r="F8" t="s">
        <v>20</v>
      </c>
      <c r="G8" t="s">
        <v>17</v>
      </c>
      <c r="H8">
        <v>-1.14448128709648</v>
      </c>
      <c r="I8">
        <v>1.7873358331073399</v>
      </c>
      <c r="J8">
        <v>7</v>
      </c>
      <c r="K8">
        <v>2.3586969457939002</v>
      </c>
      <c r="L8">
        <v>-4.6476595199868598</v>
      </c>
    </row>
    <row r="9" spans="1:27" x14ac:dyDescent="0.3">
      <c r="A9">
        <v>13211</v>
      </c>
      <c r="B9">
        <v>142</v>
      </c>
      <c r="C9" t="s">
        <v>12</v>
      </c>
      <c r="D9" t="s">
        <v>22</v>
      </c>
      <c r="E9" t="s">
        <v>14</v>
      </c>
      <c r="F9" t="s">
        <v>20</v>
      </c>
      <c r="G9" t="s">
        <v>16</v>
      </c>
      <c r="H9">
        <v>-1.1201912825751801</v>
      </c>
      <c r="I9">
        <v>1.4195579789972399</v>
      </c>
      <c r="J9">
        <v>8</v>
      </c>
      <c r="K9">
        <v>1.6621423562594</v>
      </c>
      <c r="L9">
        <v>-3.9025249214097602</v>
      </c>
    </row>
    <row r="10" spans="1:27" x14ac:dyDescent="0.3">
      <c r="A10">
        <v>22121</v>
      </c>
      <c r="B10">
        <v>128</v>
      </c>
      <c r="C10" t="s">
        <v>23</v>
      </c>
      <c r="D10" t="s">
        <v>21</v>
      </c>
      <c r="E10" t="s">
        <v>18</v>
      </c>
      <c r="F10" t="s">
        <v>15</v>
      </c>
      <c r="G10" t="s">
        <v>16</v>
      </c>
      <c r="H10">
        <v>-1.0475042099493499</v>
      </c>
      <c r="I10">
        <v>1.46907122412321</v>
      </c>
      <c r="J10">
        <v>9</v>
      </c>
      <c r="K10">
        <v>1.83187538933214</v>
      </c>
      <c r="L10">
        <v>-3.92688380923083</v>
      </c>
    </row>
    <row r="11" spans="1:27" x14ac:dyDescent="0.3">
      <c r="A11">
        <v>21232</v>
      </c>
      <c r="B11">
        <v>544</v>
      </c>
      <c r="C11" t="s">
        <v>23</v>
      </c>
      <c r="D11" t="s">
        <v>13</v>
      </c>
      <c r="E11" t="s">
        <v>19</v>
      </c>
      <c r="F11" t="s">
        <v>20</v>
      </c>
      <c r="G11" t="s">
        <v>17</v>
      </c>
      <c r="H11">
        <v>-1.0195956093238201</v>
      </c>
      <c r="I11">
        <v>1.8158469577443399</v>
      </c>
      <c r="J11">
        <v>10</v>
      </c>
      <c r="K11">
        <v>2.5394644278550902</v>
      </c>
      <c r="L11">
        <v>-4.5786556465027397</v>
      </c>
    </row>
    <row r="12" spans="1:27" x14ac:dyDescent="0.3">
      <c r="A12">
        <v>23121</v>
      </c>
      <c r="B12">
        <v>119</v>
      </c>
      <c r="C12" t="s">
        <v>23</v>
      </c>
      <c r="D12" t="s">
        <v>22</v>
      </c>
      <c r="E12" t="s">
        <v>18</v>
      </c>
      <c r="F12" t="s">
        <v>15</v>
      </c>
      <c r="G12" t="s">
        <v>16</v>
      </c>
      <c r="H12">
        <v>-0.99369366895640598</v>
      </c>
      <c r="I12">
        <v>2.0688312150954502</v>
      </c>
      <c r="J12">
        <v>11</v>
      </c>
      <c r="K12">
        <v>3.0612155126306799</v>
      </c>
      <c r="L12">
        <v>-5.0486028505435003</v>
      </c>
    </row>
    <row r="13" spans="1:27" x14ac:dyDescent="0.3">
      <c r="A13">
        <v>12232</v>
      </c>
      <c r="B13">
        <v>511</v>
      </c>
      <c r="C13" t="s">
        <v>12</v>
      </c>
      <c r="D13" t="s">
        <v>21</v>
      </c>
      <c r="E13" t="s">
        <v>19</v>
      </c>
      <c r="F13" t="s">
        <v>20</v>
      </c>
      <c r="G13" t="s">
        <v>17</v>
      </c>
      <c r="H13">
        <v>-0.96620496866993499</v>
      </c>
      <c r="I13">
        <v>1.42676249362986</v>
      </c>
      <c r="J13">
        <v>12</v>
      </c>
      <c r="K13">
        <v>1.83024951884459</v>
      </c>
      <c r="L13">
        <v>-3.7626594561844602</v>
      </c>
    </row>
    <row r="14" spans="1:27" x14ac:dyDescent="0.3">
      <c r="A14">
        <v>21121</v>
      </c>
      <c r="B14">
        <v>128</v>
      </c>
      <c r="C14" t="s">
        <v>23</v>
      </c>
      <c r="D14" t="s">
        <v>13</v>
      </c>
      <c r="E14" t="s">
        <v>18</v>
      </c>
      <c r="F14" t="s">
        <v>15</v>
      </c>
      <c r="G14" t="s">
        <v>16</v>
      </c>
      <c r="H14">
        <v>-0.93022373664250702</v>
      </c>
      <c r="I14">
        <v>1.4814863819025501</v>
      </c>
      <c r="J14">
        <v>13</v>
      </c>
      <c r="K14">
        <v>1.97348957188649</v>
      </c>
      <c r="L14">
        <v>-3.8339370451715098</v>
      </c>
    </row>
    <row r="15" spans="1:27" x14ac:dyDescent="0.3">
      <c r="A15">
        <v>13221</v>
      </c>
      <c r="B15">
        <v>192</v>
      </c>
      <c r="C15" t="s">
        <v>12</v>
      </c>
      <c r="D15" t="s">
        <v>22</v>
      </c>
      <c r="E15" t="s">
        <v>18</v>
      </c>
      <c r="F15" t="s">
        <v>20</v>
      </c>
      <c r="G15" t="s">
        <v>16</v>
      </c>
      <c r="H15">
        <v>-0.81564546638733804</v>
      </c>
      <c r="I15">
        <v>1.70039533685393</v>
      </c>
      <c r="J15">
        <v>14</v>
      </c>
      <c r="K15">
        <v>2.5171293938463699</v>
      </c>
      <c r="L15">
        <v>-4.1484203266210402</v>
      </c>
    </row>
    <row r="16" spans="1:27" x14ac:dyDescent="0.3">
      <c r="A16">
        <v>21122</v>
      </c>
      <c r="B16">
        <v>307</v>
      </c>
      <c r="C16" t="s">
        <v>23</v>
      </c>
      <c r="D16" t="s">
        <v>13</v>
      </c>
      <c r="E16" t="s">
        <v>18</v>
      </c>
      <c r="F16" t="s">
        <v>15</v>
      </c>
      <c r="G16" t="s">
        <v>17</v>
      </c>
      <c r="H16">
        <v>-0.78041608059498901</v>
      </c>
      <c r="I16">
        <v>1.60435608891958</v>
      </c>
      <c r="J16">
        <v>15</v>
      </c>
      <c r="K16">
        <v>2.3641218536873798</v>
      </c>
      <c r="L16">
        <v>-3.9249540148773598</v>
      </c>
    </row>
    <row r="17" spans="1:12" x14ac:dyDescent="0.3">
      <c r="A17">
        <v>23212</v>
      </c>
      <c r="B17">
        <v>314</v>
      </c>
      <c r="C17" t="s">
        <v>23</v>
      </c>
      <c r="D17" t="s">
        <v>22</v>
      </c>
      <c r="E17" t="s">
        <v>14</v>
      </c>
      <c r="F17" t="s">
        <v>20</v>
      </c>
      <c r="G17" t="s">
        <v>17</v>
      </c>
      <c r="H17">
        <v>-0.760319271999227</v>
      </c>
      <c r="I17">
        <v>2.37683494240828</v>
      </c>
      <c r="J17">
        <v>16</v>
      </c>
      <c r="K17">
        <v>3.8982772151210101</v>
      </c>
      <c r="L17">
        <v>-5.4189157591194599</v>
      </c>
    </row>
    <row r="18" spans="1:12" x14ac:dyDescent="0.3">
      <c r="A18">
        <v>13131</v>
      </c>
      <c r="B18">
        <v>225</v>
      </c>
      <c r="C18" t="s">
        <v>12</v>
      </c>
      <c r="D18" t="s">
        <v>22</v>
      </c>
      <c r="E18" t="s">
        <v>19</v>
      </c>
      <c r="F18" t="s">
        <v>15</v>
      </c>
      <c r="G18" t="s">
        <v>16</v>
      </c>
      <c r="H18">
        <v>-0.74027391668270404</v>
      </c>
      <c r="I18">
        <v>1.16414969994317</v>
      </c>
      <c r="J18">
        <v>17</v>
      </c>
      <c r="K18">
        <v>1.54145949520591</v>
      </c>
      <c r="L18">
        <v>-3.0220073285713198</v>
      </c>
    </row>
    <row r="19" spans="1:12" x14ac:dyDescent="0.3">
      <c r="A19">
        <v>13132</v>
      </c>
      <c r="B19">
        <v>497</v>
      </c>
      <c r="C19" t="s">
        <v>12</v>
      </c>
      <c r="D19" t="s">
        <v>22</v>
      </c>
      <c r="E19" t="s">
        <v>19</v>
      </c>
      <c r="F19" t="s">
        <v>15</v>
      </c>
      <c r="G19" t="s">
        <v>17</v>
      </c>
      <c r="H19">
        <v>-0.71163090720010602</v>
      </c>
      <c r="I19">
        <v>1.43024297768064</v>
      </c>
      <c r="J19">
        <v>18</v>
      </c>
      <c r="K19">
        <v>2.0916453290539399</v>
      </c>
      <c r="L19">
        <v>-3.5149071434541601</v>
      </c>
    </row>
    <row r="20" spans="1:12" x14ac:dyDescent="0.3">
      <c r="A20">
        <v>22132</v>
      </c>
      <c r="B20">
        <v>418</v>
      </c>
      <c r="C20" t="s">
        <v>23</v>
      </c>
      <c r="D20" t="s">
        <v>21</v>
      </c>
      <c r="E20" t="s">
        <v>19</v>
      </c>
      <c r="F20" t="s">
        <v>15</v>
      </c>
      <c r="G20" t="s">
        <v>17</v>
      </c>
      <c r="H20">
        <v>-0.70304391208005301</v>
      </c>
      <c r="I20">
        <v>1.6506102823483599</v>
      </c>
      <c r="J20">
        <v>19</v>
      </c>
      <c r="K20">
        <v>2.53215224132274</v>
      </c>
      <c r="L20">
        <v>-3.9382400654828502</v>
      </c>
    </row>
    <row r="21" spans="1:12" x14ac:dyDescent="0.3">
      <c r="A21">
        <v>22111</v>
      </c>
      <c r="B21">
        <v>77</v>
      </c>
      <c r="C21" t="s">
        <v>23</v>
      </c>
      <c r="D21" t="s">
        <v>21</v>
      </c>
      <c r="E21" t="s">
        <v>14</v>
      </c>
      <c r="F21" t="s">
        <v>15</v>
      </c>
      <c r="G21" t="s">
        <v>16</v>
      </c>
      <c r="H21">
        <v>-0.68802136129394997</v>
      </c>
      <c r="I21">
        <v>1.2709581012180999</v>
      </c>
      <c r="J21">
        <v>20</v>
      </c>
      <c r="K21">
        <v>1.80305651709352</v>
      </c>
      <c r="L21">
        <v>-3.1790992396814199</v>
      </c>
    </row>
    <row r="22" spans="1:12" x14ac:dyDescent="0.3">
      <c r="A22">
        <v>22211</v>
      </c>
      <c r="B22">
        <v>144</v>
      </c>
      <c r="C22" t="s">
        <v>23</v>
      </c>
      <c r="D22" t="s">
        <v>21</v>
      </c>
      <c r="E22" t="s">
        <v>14</v>
      </c>
      <c r="F22" t="s">
        <v>20</v>
      </c>
      <c r="G22" t="s">
        <v>16</v>
      </c>
      <c r="H22">
        <v>-0.653874166753318</v>
      </c>
      <c r="I22">
        <v>1.7100762239952001</v>
      </c>
      <c r="J22">
        <v>21</v>
      </c>
      <c r="K22">
        <v>2.6978752322772799</v>
      </c>
      <c r="L22">
        <v>-4.0056235657839201</v>
      </c>
    </row>
    <row r="23" spans="1:12" x14ac:dyDescent="0.3">
      <c r="A23">
        <v>21211</v>
      </c>
      <c r="B23">
        <v>138</v>
      </c>
      <c r="C23" t="s">
        <v>23</v>
      </c>
      <c r="D23" t="s">
        <v>13</v>
      </c>
      <c r="E23" t="s">
        <v>14</v>
      </c>
      <c r="F23" t="s">
        <v>20</v>
      </c>
      <c r="G23" t="s">
        <v>16</v>
      </c>
      <c r="H23">
        <v>-0.59613288185786295</v>
      </c>
      <c r="I23">
        <v>1.79691885430953</v>
      </c>
      <c r="J23">
        <v>22</v>
      </c>
      <c r="K23">
        <v>2.9258280725888199</v>
      </c>
      <c r="L23">
        <v>-4.1180938363045403</v>
      </c>
    </row>
    <row r="24" spans="1:12" x14ac:dyDescent="0.3">
      <c r="A24">
        <v>13231</v>
      </c>
      <c r="B24">
        <v>225</v>
      </c>
      <c r="C24" t="s">
        <v>12</v>
      </c>
      <c r="D24" t="s">
        <v>22</v>
      </c>
      <c r="E24" t="s">
        <v>19</v>
      </c>
      <c r="F24" t="s">
        <v>20</v>
      </c>
      <c r="G24" t="s">
        <v>16</v>
      </c>
      <c r="H24">
        <v>-0.57252934164709701</v>
      </c>
      <c r="I24">
        <v>1.7363172547727499</v>
      </c>
      <c r="J24">
        <v>23</v>
      </c>
      <c r="K24">
        <v>2.8306524777074999</v>
      </c>
      <c r="L24">
        <v>-3.9757111610017</v>
      </c>
    </row>
    <row r="25" spans="1:12" x14ac:dyDescent="0.3">
      <c r="A25">
        <v>11121</v>
      </c>
      <c r="B25">
        <v>151</v>
      </c>
      <c r="C25" t="s">
        <v>12</v>
      </c>
      <c r="D25" t="s">
        <v>13</v>
      </c>
      <c r="E25" t="s">
        <v>18</v>
      </c>
      <c r="F25" t="s">
        <v>15</v>
      </c>
      <c r="G25" t="s">
        <v>16</v>
      </c>
      <c r="H25">
        <v>-0.47446378136763701</v>
      </c>
      <c r="I25">
        <v>0.91346442442753195</v>
      </c>
      <c r="J25">
        <v>24</v>
      </c>
      <c r="K25">
        <v>1.3159264905103301</v>
      </c>
      <c r="L25">
        <v>-2.2648540532456001</v>
      </c>
    </row>
    <row r="26" spans="1:12" x14ac:dyDescent="0.3">
      <c r="A26">
        <v>23221</v>
      </c>
      <c r="B26">
        <v>157</v>
      </c>
      <c r="C26" t="s">
        <v>23</v>
      </c>
      <c r="D26" t="s">
        <v>22</v>
      </c>
      <c r="E26" t="s">
        <v>18</v>
      </c>
      <c r="F26" t="s">
        <v>20</v>
      </c>
      <c r="G26" t="s">
        <v>16</v>
      </c>
      <c r="H26">
        <v>-0.42011770687324701</v>
      </c>
      <c r="I26">
        <v>2.5675568319592799</v>
      </c>
      <c r="J26">
        <v>25</v>
      </c>
      <c r="K26">
        <v>4.6122936837669402</v>
      </c>
      <c r="L26">
        <v>-5.4525290975134304</v>
      </c>
    </row>
    <row r="27" spans="1:12" x14ac:dyDescent="0.3">
      <c r="A27">
        <v>13111</v>
      </c>
      <c r="B27">
        <v>62</v>
      </c>
      <c r="C27" t="s">
        <v>12</v>
      </c>
      <c r="D27" t="s">
        <v>22</v>
      </c>
      <c r="E27" t="s">
        <v>14</v>
      </c>
      <c r="F27" t="s">
        <v>15</v>
      </c>
      <c r="G27" t="s">
        <v>16</v>
      </c>
      <c r="H27">
        <v>-0.38544604440330099</v>
      </c>
      <c r="I27">
        <v>1.1183023856582499</v>
      </c>
      <c r="J27">
        <v>26</v>
      </c>
      <c r="K27">
        <v>1.80642663148686</v>
      </c>
      <c r="L27">
        <v>-2.5773187202934702</v>
      </c>
    </row>
    <row r="28" spans="1:12" x14ac:dyDescent="0.3">
      <c r="A28">
        <v>22222</v>
      </c>
      <c r="B28">
        <v>336</v>
      </c>
      <c r="C28" t="s">
        <v>23</v>
      </c>
      <c r="D28" t="s">
        <v>21</v>
      </c>
      <c r="E28" t="s">
        <v>18</v>
      </c>
      <c r="F28" t="s">
        <v>20</v>
      </c>
      <c r="G28" t="s">
        <v>17</v>
      </c>
      <c r="H28">
        <v>-0.34882617302337099</v>
      </c>
      <c r="I28">
        <v>2.2266851141742099</v>
      </c>
      <c r="J28">
        <v>27</v>
      </c>
      <c r="K28">
        <v>4.0154766507580799</v>
      </c>
      <c r="L28">
        <v>-4.7131289968048202</v>
      </c>
    </row>
    <row r="29" spans="1:12" x14ac:dyDescent="0.3">
      <c r="A29">
        <v>22122</v>
      </c>
      <c r="B29">
        <v>232</v>
      </c>
      <c r="C29" t="s">
        <v>23</v>
      </c>
      <c r="D29" t="s">
        <v>21</v>
      </c>
      <c r="E29" t="s">
        <v>18</v>
      </c>
      <c r="F29" t="s">
        <v>15</v>
      </c>
      <c r="G29" t="s">
        <v>17</v>
      </c>
      <c r="H29">
        <v>-0.29800438104869698</v>
      </c>
      <c r="I29">
        <v>1.8080310313093799</v>
      </c>
      <c r="J29">
        <v>28</v>
      </c>
      <c r="K29">
        <v>3.2457364403176898</v>
      </c>
      <c r="L29">
        <v>-3.8417452024150802</v>
      </c>
    </row>
    <row r="30" spans="1:12" x14ac:dyDescent="0.3">
      <c r="A30">
        <v>21131</v>
      </c>
      <c r="B30">
        <v>265</v>
      </c>
      <c r="C30" t="s">
        <v>23</v>
      </c>
      <c r="D30" t="s">
        <v>13</v>
      </c>
      <c r="E30" t="s">
        <v>19</v>
      </c>
      <c r="F30" t="s">
        <v>15</v>
      </c>
      <c r="G30" t="s">
        <v>16</v>
      </c>
      <c r="H30">
        <v>-0.27850632627037297</v>
      </c>
      <c r="I30">
        <v>1.49713167501708</v>
      </c>
      <c r="J30">
        <v>29</v>
      </c>
      <c r="K30">
        <v>2.6558717567631098</v>
      </c>
      <c r="L30">
        <v>-3.2128844093038502</v>
      </c>
    </row>
    <row r="31" spans="1:12" x14ac:dyDescent="0.3">
      <c r="A31">
        <v>11221</v>
      </c>
      <c r="B31">
        <v>222</v>
      </c>
      <c r="C31" t="s">
        <v>12</v>
      </c>
      <c r="D31" t="s">
        <v>13</v>
      </c>
      <c r="E31" t="s">
        <v>18</v>
      </c>
      <c r="F31" t="s">
        <v>20</v>
      </c>
      <c r="G31" t="s">
        <v>16</v>
      </c>
      <c r="H31">
        <v>-0.26778448457692999</v>
      </c>
      <c r="I31">
        <v>1.37137409267139</v>
      </c>
      <c r="J31">
        <v>30</v>
      </c>
      <c r="K31">
        <v>2.4201087370589902</v>
      </c>
      <c r="L31">
        <v>-2.9556777062128501</v>
      </c>
    </row>
    <row r="32" spans="1:12" x14ac:dyDescent="0.3">
      <c r="A32">
        <v>22131</v>
      </c>
      <c r="B32">
        <v>244</v>
      </c>
      <c r="C32" t="s">
        <v>23</v>
      </c>
      <c r="D32" t="s">
        <v>21</v>
      </c>
      <c r="E32" t="s">
        <v>19</v>
      </c>
      <c r="F32" t="s">
        <v>15</v>
      </c>
      <c r="G32" t="s">
        <v>16</v>
      </c>
      <c r="H32">
        <v>-0.21668724792934199</v>
      </c>
      <c r="I32">
        <v>1.55432604651771</v>
      </c>
      <c r="J32">
        <v>31</v>
      </c>
      <c r="K32">
        <v>2.8297918032453699</v>
      </c>
      <c r="L32">
        <v>-3.2631662991040602</v>
      </c>
    </row>
    <row r="33" spans="1:12" x14ac:dyDescent="0.3">
      <c r="A33">
        <v>21111</v>
      </c>
      <c r="B33">
        <v>67</v>
      </c>
      <c r="C33" t="s">
        <v>23</v>
      </c>
      <c r="D33" t="s">
        <v>13</v>
      </c>
      <c r="E33" t="s">
        <v>14</v>
      </c>
      <c r="F33" t="s">
        <v>15</v>
      </c>
      <c r="G33" t="s">
        <v>16</v>
      </c>
      <c r="H33">
        <v>-0.18163104952349901</v>
      </c>
      <c r="I33">
        <v>1.4468545774227399</v>
      </c>
      <c r="J33">
        <v>32</v>
      </c>
      <c r="K33">
        <v>2.65420392222507</v>
      </c>
      <c r="L33">
        <v>-3.0174660212720599</v>
      </c>
    </row>
    <row r="34" spans="1:12" x14ac:dyDescent="0.3">
      <c r="A34">
        <v>22212</v>
      </c>
      <c r="B34">
        <v>308</v>
      </c>
      <c r="C34" t="s">
        <v>23</v>
      </c>
      <c r="D34" t="s">
        <v>21</v>
      </c>
      <c r="E34" t="s">
        <v>14</v>
      </c>
      <c r="F34" t="s">
        <v>20</v>
      </c>
      <c r="G34" t="s">
        <v>17</v>
      </c>
      <c r="H34">
        <v>-0.15671942366501801</v>
      </c>
      <c r="I34">
        <v>1.9108570618852201</v>
      </c>
      <c r="J34">
        <v>33</v>
      </c>
      <c r="K34">
        <v>3.5885604176300099</v>
      </c>
      <c r="L34">
        <v>-3.9019992649600499</v>
      </c>
    </row>
    <row r="35" spans="1:12" x14ac:dyDescent="0.3">
      <c r="A35">
        <v>12112</v>
      </c>
      <c r="B35">
        <v>191</v>
      </c>
      <c r="C35" t="s">
        <v>12</v>
      </c>
      <c r="D35" t="s">
        <v>21</v>
      </c>
      <c r="E35" t="s">
        <v>14</v>
      </c>
      <c r="F35" t="s">
        <v>15</v>
      </c>
      <c r="G35" t="s">
        <v>17</v>
      </c>
      <c r="H35">
        <v>2.4272560609958398E-2</v>
      </c>
      <c r="I35">
        <v>0.90533819914018099</v>
      </c>
      <c r="J35">
        <v>34</v>
      </c>
      <c r="K35">
        <v>1.7987354309247101</v>
      </c>
      <c r="L35">
        <v>-1.7501903097047999</v>
      </c>
    </row>
    <row r="36" spans="1:12" x14ac:dyDescent="0.3">
      <c r="A36">
        <v>11212</v>
      </c>
      <c r="B36">
        <v>350</v>
      </c>
      <c r="C36" t="s">
        <v>12</v>
      </c>
      <c r="D36" t="s">
        <v>13</v>
      </c>
      <c r="E36" t="s">
        <v>14</v>
      </c>
      <c r="F36" t="s">
        <v>20</v>
      </c>
      <c r="G36" t="s">
        <v>17</v>
      </c>
      <c r="H36">
        <v>2.81280313463689E-2</v>
      </c>
      <c r="I36">
        <v>1.27419325153511</v>
      </c>
      <c r="J36">
        <v>35</v>
      </c>
      <c r="K36">
        <v>2.5255468043551801</v>
      </c>
      <c r="L36">
        <v>-2.4692907416624399</v>
      </c>
    </row>
    <row r="37" spans="1:12" x14ac:dyDescent="0.3">
      <c r="A37">
        <v>12132</v>
      </c>
      <c r="B37">
        <v>494</v>
      </c>
      <c r="C37" t="s">
        <v>12</v>
      </c>
      <c r="D37" t="s">
        <v>21</v>
      </c>
      <c r="E37" t="s">
        <v>19</v>
      </c>
      <c r="F37" t="s">
        <v>15</v>
      </c>
      <c r="G37" t="s">
        <v>17</v>
      </c>
      <c r="H37">
        <v>4.5458548490215203E-2</v>
      </c>
      <c r="I37">
        <v>1.07228082793469</v>
      </c>
      <c r="J37">
        <v>36</v>
      </c>
      <c r="K37">
        <v>2.1471289712421999</v>
      </c>
      <c r="L37">
        <v>-2.0562118742617699</v>
      </c>
    </row>
    <row r="38" spans="1:12" x14ac:dyDescent="0.3">
      <c r="A38">
        <v>11111</v>
      </c>
      <c r="B38">
        <v>75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>
        <v>6.9143341228029495E-2</v>
      </c>
      <c r="I38">
        <v>0.77440006992208898</v>
      </c>
      <c r="J38">
        <v>37</v>
      </c>
      <c r="K38">
        <v>1.58696747827532</v>
      </c>
      <c r="L38">
        <v>-1.44868079581926</v>
      </c>
    </row>
    <row r="39" spans="1:12" x14ac:dyDescent="0.3">
      <c r="A39">
        <v>22232</v>
      </c>
      <c r="B39">
        <v>472</v>
      </c>
      <c r="C39" t="s">
        <v>23</v>
      </c>
      <c r="D39" t="s">
        <v>21</v>
      </c>
      <c r="E39" t="s">
        <v>19</v>
      </c>
      <c r="F39" t="s">
        <v>20</v>
      </c>
      <c r="G39" t="s">
        <v>17</v>
      </c>
      <c r="H39">
        <v>6.9675954120482206E-2</v>
      </c>
      <c r="I39">
        <v>2.0122557872088001</v>
      </c>
      <c r="J39">
        <v>38</v>
      </c>
      <c r="K39">
        <v>4.0136972970497196</v>
      </c>
      <c r="L39">
        <v>-3.8743453888087598</v>
      </c>
    </row>
    <row r="40" spans="1:12" x14ac:dyDescent="0.3">
      <c r="A40">
        <v>12111</v>
      </c>
      <c r="B40">
        <v>81</v>
      </c>
      <c r="C40" t="s">
        <v>12</v>
      </c>
      <c r="D40" t="s">
        <v>21</v>
      </c>
      <c r="E40" t="s">
        <v>14</v>
      </c>
      <c r="F40" t="s">
        <v>15</v>
      </c>
      <c r="G40" t="s">
        <v>16</v>
      </c>
      <c r="H40">
        <v>7.3782391227392496E-2</v>
      </c>
      <c r="I40">
        <v>0.89068635550031505</v>
      </c>
      <c r="J40">
        <v>39</v>
      </c>
      <c r="K40">
        <v>1.81952764800801</v>
      </c>
      <c r="L40">
        <v>-1.6719628655532199</v>
      </c>
    </row>
    <row r="41" spans="1:12" x14ac:dyDescent="0.3">
      <c r="A41">
        <v>12122</v>
      </c>
      <c r="B41">
        <v>230</v>
      </c>
      <c r="C41" t="s">
        <v>12</v>
      </c>
      <c r="D41" t="s">
        <v>21</v>
      </c>
      <c r="E41" t="s">
        <v>18</v>
      </c>
      <c r="F41" t="s">
        <v>15</v>
      </c>
      <c r="G41" t="s">
        <v>17</v>
      </c>
      <c r="H41">
        <v>9.8435865365737396E-2</v>
      </c>
      <c r="I41">
        <v>1.33161665115178</v>
      </c>
      <c r="J41">
        <v>40</v>
      </c>
      <c r="K41">
        <v>2.7084045016232299</v>
      </c>
      <c r="L41">
        <v>-2.5115327708917601</v>
      </c>
    </row>
    <row r="42" spans="1:12" x14ac:dyDescent="0.3">
      <c r="A42">
        <v>21112</v>
      </c>
      <c r="B42">
        <v>220</v>
      </c>
      <c r="C42" t="s">
        <v>23</v>
      </c>
      <c r="D42" t="s">
        <v>13</v>
      </c>
      <c r="E42" t="s">
        <v>14</v>
      </c>
      <c r="F42" t="s">
        <v>15</v>
      </c>
      <c r="G42" t="s">
        <v>17</v>
      </c>
      <c r="H42">
        <v>0.110198631291339</v>
      </c>
      <c r="I42">
        <v>1.6047480356009101</v>
      </c>
      <c r="J42">
        <v>41</v>
      </c>
      <c r="K42">
        <v>3.25550478106913</v>
      </c>
      <c r="L42">
        <v>-3.0351075184864502</v>
      </c>
    </row>
    <row r="43" spans="1:12" x14ac:dyDescent="0.3">
      <c r="A43">
        <v>12131</v>
      </c>
      <c r="B43">
        <v>251</v>
      </c>
      <c r="C43" t="s">
        <v>12</v>
      </c>
      <c r="D43" t="s">
        <v>21</v>
      </c>
      <c r="E43" t="s">
        <v>19</v>
      </c>
      <c r="F43" t="s">
        <v>15</v>
      </c>
      <c r="G43" t="s">
        <v>16</v>
      </c>
      <c r="H43">
        <v>0.12733568998064401</v>
      </c>
      <c r="I43">
        <v>0.99758716354711796</v>
      </c>
      <c r="J43">
        <v>42</v>
      </c>
      <c r="K43">
        <v>2.0826065305329999</v>
      </c>
      <c r="L43">
        <v>-1.8279351505717101</v>
      </c>
    </row>
    <row r="44" spans="1:12" x14ac:dyDescent="0.3">
      <c r="A44">
        <v>21221</v>
      </c>
      <c r="B44">
        <v>221</v>
      </c>
      <c r="C44" t="s">
        <v>23</v>
      </c>
      <c r="D44" t="s">
        <v>13</v>
      </c>
      <c r="E44" t="s">
        <v>18</v>
      </c>
      <c r="F44" t="s">
        <v>20</v>
      </c>
      <c r="G44" t="s">
        <v>16</v>
      </c>
      <c r="H44">
        <v>0.129905000017533</v>
      </c>
      <c r="I44">
        <v>1.93347146126794</v>
      </c>
      <c r="J44">
        <v>43</v>
      </c>
      <c r="K44">
        <v>3.9195090641027002</v>
      </c>
      <c r="L44">
        <v>-3.6596990640676301</v>
      </c>
    </row>
    <row r="45" spans="1:12" x14ac:dyDescent="0.3">
      <c r="A45">
        <v>12231</v>
      </c>
      <c r="B45">
        <v>286</v>
      </c>
      <c r="C45" t="s">
        <v>12</v>
      </c>
      <c r="D45" t="s">
        <v>21</v>
      </c>
      <c r="E45" t="s">
        <v>19</v>
      </c>
      <c r="F45" t="s">
        <v>20</v>
      </c>
      <c r="G45" t="s">
        <v>16</v>
      </c>
      <c r="H45">
        <v>0.202289187355922</v>
      </c>
      <c r="I45">
        <v>1.4530761353877999</v>
      </c>
      <c r="J45">
        <v>44</v>
      </c>
      <c r="K45">
        <v>3.0503184127160101</v>
      </c>
      <c r="L45">
        <v>-2.6457400380041598</v>
      </c>
    </row>
    <row r="46" spans="1:12" x14ac:dyDescent="0.3">
      <c r="A46">
        <v>23211</v>
      </c>
      <c r="B46">
        <v>130</v>
      </c>
      <c r="C46" t="s">
        <v>23</v>
      </c>
      <c r="D46" t="s">
        <v>22</v>
      </c>
      <c r="E46" t="s">
        <v>14</v>
      </c>
      <c r="F46" t="s">
        <v>20</v>
      </c>
      <c r="G46" t="s">
        <v>16</v>
      </c>
      <c r="H46">
        <v>0.30633250227734499</v>
      </c>
      <c r="I46">
        <v>2.41560977057848</v>
      </c>
      <c r="J46">
        <v>45</v>
      </c>
      <c r="K46">
        <v>5.0409276526111704</v>
      </c>
      <c r="L46">
        <v>-4.4282626480564797</v>
      </c>
    </row>
    <row r="47" spans="1:12" x14ac:dyDescent="0.3">
      <c r="A47">
        <v>12211</v>
      </c>
      <c r="B47">
        <v>147</v>
      </c>
      <c r="C47" t="s">
        <v>12</v>
      </c>
      <c r="D47" t="s">
        <v>21</v>
      </c>
      <c r="E47" t="s">
        <v>14</v>
      </c>
      <c r="F47" t="s">
        <v>20</v>
      </c>
      <c r="G47" t="s">
        <v>16</v>
      </c>
      <c r="H47">
        <v>0.35693644789211398</v>
      </c>
      <c r="I47">
        <v>1.20092164232724</v>
      </c>
      <c r="J47">
        <v>46</v>
      </c>
      <c r="K47">
        <v>2.7107428668534999</v>
      </c>
      <c r="L47">
        <v>-1.9968699710692699</v>
      </c>
    </row>
    <row r="48" spans="1:12" x14ac:dyDescent="0.3">
      <c r="A48">
        <v>11232</v>
      </c>
      <c r="B48">
        <v>560</v>
      </c>
      <c r="C48" t="s">
        <v>12</v>
      </c>
      <c r="D48" t="s">
        <v>13</v>
      </c>
      <c r="E48" t="s">
        <v>19</v>
      </c>
      <c r="F48" t="s">
        <v>20</v>
      </c>
      <c r="G48" t="s">
        <v>17</v>
      </c>
      <c r="H48">
        <v>0.37561713328095497</v>
      </c>
      <c r="I48">
        <v>1.3662082251148899</v>
      </c>
      <c r="J48">
        <v>47</v>
      </c>
      <c r="K48">
        <v>3.05338525450613</v>
      </c>
      <c r="L48">
        <v>-2.3021509879442199</v>
      </c>
    </row>
    <row r="49" spans="1:12" x14ac:dyDescent="0.3">
      <c r="A49">
        <v>12121</v>
      </c>
      <c r="B49">
        <v>137</v>
      </c>
      <c r="C49" t="s">
        <v>12</v>
      </c>
      <c r="D49" t="s">
        <v>21</v>
      </c>
      <c r="E49" t="s">
        <v>18</v>
      </c>
      <c r="F49" t="s">
        <v>15</v>
      </c>
      <c r="G49" t="s">
        <v>16</v>
      </c>
      <c r="H49">
        <v>0.38254517340597399</v>
      </c>
      <c r="I49">
        <v>1.03806494005549</v>
      </c>
      <c r="J49">
        <v>48</v>
      </c>
      <c r="K49">
        <v>2.4171524559147399</v>
      </c>
      <c r="L49">
        <v>-1.6520621091027901</v>
      </c>
    </row>
    <row r="50" spans="1:12" x14ac:dyDescent="0.3">
      <c r="A50">
        <v>13121</v>
      </c>
      <c r="B50">
        <v>107</v>
      </c>
      <c r="C50" t="s">
        <v>12</v>
      </c>
      <c r="D50" t="s">
        <v>22</v>
      </c>
      <c r="E50" t="s">
        <v>18</v>
      </c>
      <c r="F50" t="s">
        <v>15</v>
      </c>
      <c r="G50" t="s">
        <v>16</v>
      </c>
      <c r="H50">
        <v>0.41991436695247297</v>
      </c>
      <c r="I50">
        <v>1.45854516326443</v>
      </c>
      <c r="J50">
        <v>49</v>
      </c>
      <c r="K50">
        <v>3.2786628869507499</v>
      </c>
      <c r="L50">
        <v>-2.4388341530458</v>
      </c>
    </row>
    <row r="51" spans="1:12" x14ac:dyDescent="0.3">
      <c r="A51">
        <v>12212</v>
      </c>
      <c r="B51">
        <v>307</v>
      </c>
      <c r="C51" t="s">
        <v>12</v>
      </c>
      <c r="D51" t="s">
        <v>21</v>
      </c>
      <c r="E51" t="s">
        <v>14</v>
      </c>
      <c r="F51" t="s">
        <v>20</v>
      </c>
      <c r="G51" t="s">
        <v>17</v>
      </c>
      <c r="H51">
        <v>0.532879784395482</v>
      </c>
      <c r="I51">
        <v>1.32987777454876</v>
      </c>
      <c r="J51">
        <v>50</v>
      </c>
      <c r="K51">
        <v>3.1394402225110598</v>
      </c>
      <c r="L51">
        <v>-2.0736806537200998</v>
      </c>
    </row>
    <row r="52" spans="1:12" x14ac:dyDescent="0.3">
      <c r="A52">
        <v>11132</v>
      </c>
      <c r="B52">
        <v>541</v>
      </c>
      <c r="C52" t="s">
        <v>12</v>
      </c>
      <c r="D52" t="s">
        <v>13</v>
      </c>
      <c r="E52" t="s">
        <v>19</v>
      </c>
      <c r="F52" t="s">
        <v>15</v>
      </c>
      <c r="G52" t="s">
        <v>17</v>
      </c>
      <c r="H52">
        <v>0.58770853589639904</v>
      </c>
      <c r="I52">
        <v>1.0434426006625499</v>
      </c>
      <c r="J52">
        <v>51</v>
      </c>
      <c r="K52">
        <v>2.6328560331949999</v>
      </c>
      <c r="L52">
        <v>-1.4574389614022101</v>
      </c>
    </row>
    <row r="53" spans="1:12" x14ac:dyDescent="0.3">
      <c r="A53">
        <v>13112</v>
      </c>
      <c r="B53">
        <v>201</v>
      </c>
      <c r="C53" t="s">
        <v>12</v>
      </c>
      <c r="D53" t="s">
        <v>22</v>
      </c>
      <c r="E53" t="s">
        <v>14</v>
      </c>
      <c r="F53" t="s">
        <v>15</v>
      </c>
      <c r="G53" t="s">
        <v>17</v>
      </c>
      <c r="H53">
        <v>0.605404258239857</v>
      </c>
      <c r="I53">
        <v>1.4614664607199299</v>
      </c>
      <c r="J53">
        <v>52</v>
      </c>
      <c r="K53">
        <v>3.4698785212509198</v>
      </c>
      <c r="L53">
        <v>-2.25907000477121</v>
      </c>
    </row>
    <row r="54" spans="1:12" x14ac:dyDescent="0.3">
      <c r="A54">
        <v>11112</v>
      </c>
      <c r="B54">
        <v>263</v>
      </c>
      <c r="C54" t="s">
        <v>12</v>
      </c>
      <c r="D54" t="s">
        <v>13</v>
      </c>
      <c r="E54" t="s">
        <v>14</v>
      </c>
      <c r="F54" t="s">
        <v>15</v>
      </c>
      <c r="G54" t="s">
        <v>17</v>
      </c>
      <c r="H54">
        <v>0.68357109949928696</v>
      </c>
      <c r="I54">
        <v>1.074580588885</v>
      </c>
      <c r="J54">
        <v>53</v>
      </c>
      <c r="K54">
        <v>2.7897490537138898</v>
      </c>
      <c r="L54">
        <v>-1.4226068547153199</v>
      </c>
    </row>
    <row r="55" spans="1:12" x14ac:dyDescent="0.3">
      <c r="A55">
        <v>11211</v>
      </c>
      <c r="B55">
        <v>168</v>
      </c>
      <c r="C55" t="s">
        <v>12</v>
      </c>
      <c r="D55" t="s">
        <v>13</v>
      </c>
      <c r="E55" t="s">
        <v>14</v>
      </c>
      <c r="F55" t="s">
        <v>20</v>
      </c>
      <c r="G55" t="s">
        <v>16</v>
      </c>
      <c r="H55">
        <v>0.727253178165848</v>
      </c>
      <c r="I55">
        <v>1.25728328434269</v>
      </c>
      <c r="J55">
        <v>54</v>
      </c>
      <c r="K55">
        <v>3.1915284154775301</v>
      </c>
      <c r="L55">
        <v>-1.7370220591458301</v>
      </c>
    </row>
    <row r="56" spans="1:12" x14ac:dyDescent="0.3">
      <c r="A56">
        <v>21212</v>
      </c>
      <c r="B56">
        <v>338</v>
      </c>
      <c r="C56" t="s">
        <v>23</v>
      </c>
      <c r="D56" t="s">
        <v>13</v>
      </c>
      <c r="E56" t="s">
        <v>14</v>
      </c>
      <c r="F56" t="s">
        <v>20</v>
      </c>
      <c r="G56" t="s">
        <v>17</v>
      </c>
      <c r="H56">
        <v>0.742217676659639</v>
      </c>
      <c r="I56">
        <v>2.0417582137302199</v>
      </c>
      <c r="J56">
        <v>55</v>
      </c>
      <c r="K56">
        <v>4.7440637755708703</v>
      </c>
      <c r="L56">
        <v>-3.2596284222516001</v>
      </c>
    </row>
    <row r="57" spans="1:12" x14ac:dyDescent="0.3">
      <c r="A57">
        <v>11131</v>
      </c>
      <c r="B57">
        <v>268</v>
      </c>
      <c r="C57" t="s">
        <v>12</v>
      </c>
      <c r="D57" t="s">
        <v>13</v>
      </c>
      <c r="E57" t="s">
        <v>19</v>
      </c>
      <c r="F57" t="s">
        <v>15</v>
      </c>
      <c r="G57" t="s">
        <v>16</v>
      </c>
      <c r="H57">
        <v>0.77051470721258697</v>
      </c>
      <c r="I57">
        <v>0.96860370734217205</v>
      </c>
      <c r="J57">
        <v>56</v>
      </c>
      <c r="K57">
        <v>2.6689779736032402</v>
      </c>
      <c r="L57">
        <v>-1.12794855917807</v>
      </c>
    </row>
    <row r="58" spans="1:12" x14ac:dyDescent="0.3">
      <c r="A58">
        <v>21231</v>
      </c>
      <c r="B58">
        <v>336</v>
      </c>
      <c r="C58" t="s">
        <v>23</v>
      </c>
      <c r="D58" t="s">
        <v>13</v>
      </c>
      <c r="E58" t="s">
        <v>19</v>
      </c>
      <c r="F58" t="s">
        <v>20</v>
      </c>
      <c r="G58" t="s">
        <v>16</v>
      </c>
      <c r="H58">
        <v>0.83769280890779996</v>
      </c>
      <c r="I58">
        <v>1.9368258155831299</v>
      </c>
      <c r="J58">
        <v>57</v>
      </c>
      <c r="K58">
        <v>4.6338714074507399</v>
      </c>
      <c r="L58">
        <v>-2.95848578963514</v>
      </c>
    </row>
    <row r="59" spans="1:12" x14ac:dyDescent="0.3">
      <c r="A59">
        <v>22112</v>
      </c>
      <c r="B59">
        <v>182</v>
      </c>
      <c r="C59" t="s">
        <v>23</v>
      </c>
      <c r="D59" t="s">
        <v>21</v>
      </c>
      <c r="E59" t="s">
        <v>14</v>
      </c>
      <c r="F59" t="s">
        <v>15</v>
      </c>
      <c r="G59" t="s">
        <v>17</v>
      </c>
      <c r="H59">
        <v>0.87889782903867097</v>
      </c>
      <c r="I59">
        <v>1.61650660351831</v>
      </c>
      <c r="J59">
        <v>58</v>
      </c>
      <c r="K59">
        <v>4.0472507719345501</v>
      </c>
      <c r="L59">
        <v>-2.2894551138572101</v>
      </c>
    </row>
    <row r="60" spans="1:12" x14ac:dyDescent="0.3">
      <c r="A60">
        <v>11122</v>
      </c>
      <c r="B60">
        <v>267</v>
      </c>
      <c r="C60" t="s">
        <v>12</v>
      </c>
      <c r="D60" t="s">
        <v>13</v>
      </c>
      <c r="E60" t="s">
        <v>18</v>
      </c>
      <c r="F60" t="s">
        <v>15</v>
      </c>
      <c r="G60" t="s">
        <v>17</v>
      </c>
      <c r="H60">
        <v>0.92687348776051803</v>
      </c>
      <c r="I60">
        <v>1.13636396553157</v>
      </c>
      <c r="J60">
        <v>59</v>
      </c>
      <c r="K60">
        <v>3.1541468602023999</v>
      </c>
      <c r="L60">
        <v>-1.30039988468137</v>
      </c>
    </row>
    <row r="61" spans="1:12" x14ac:dyDescent="0.3">
      <c r="A61">
        <v>13122</v>
      </c>
      <c r="B61">
        <v>273</v>
      </c>
      <c r="C61" t="s">
        <v>12</v>
      </c>
      <c r="D61" t="s">
        <v>22</v>
      </c>
      <c r="E61" t="s">
        <v>18</v>
      </c>
      <c r="F61" t="s">
        <v>15</v>
      </c>
      <c r="G61" t="s">
        <v>17</v>
      </c>
      <c r="H61">
        <v>1.13765609309487</v>
      </c>
      <c r="I61">
        <v>1.5047434770666701</v>
      </c>
      <c r="J61">
        <v>60</v>
      </c>
      <c r="K61">
        <v>4.0869533081455298</v>
      </c>
      <c r="L61">
        <v>-1.8116411219558</v>
      </c>
    </row>
    <row r="62" spans="1:12" x14ac:dyDescent="0.3">
      <c r="A62">
        <v>11222</v>
      </c>
      <c r="B62">
        <v>410</v>
      </c>
      <c r="C62" t="s">
        <v>12</v>
      </c>
      <c r="D62" t="s">
        <v>13</v>
      </c>
      <c r="E62" t="s">
        <v>18</v>
      </c>
      <c r="F62" t="s">
        <v>20</v>
      </c>
      <c r="G62" t="s">
        <v>17</v>
      </c>
      <c r="H62">
        <v>1.5142064373225199</v>
      </c>
      <c r="I62">
        <v>1.4590871114824799</v>
      </c>
      <c r="J62">
        <v>61</v>
      </c>
      <c r="K62">
        <v>4.3740171758281896</v>
      </c>
      <c r="L62">
        <v>-1.34560430118315</v>
      </c>
    </row>
    <row r="63" spans="1:12" x14ac:dyDescent="0.3">
      <c r="A63">
        <v>23111</v>
      </c>
      <c r="B63">
        <v>63</v>
      </c>
      <c r="C63" t="s">
        <v>23</v>
      </c>
      <c r="D63" t="s">
        <v>22</v>
      </c>
      <c r="E63" t="s">
        <v>14</v>
      </c>
      <c r="F63" t="s">
        <v>15</v>
      </c>
      <c r="G63" t="s">
        <v>16</v>
      </c>
      <c r="H63">
        <v>1.9051514411135599</v>
      </c>
      <c r="I63">
        <v>2.1947414098519702</v>
      </c>
      <c r="J63">
        <v>62</v>
      </c>
      <c r="K63">
        <v>6.2068446044234298</v>
      </c>
      <c r="L63">
        <v>-2.3965417221963001</v>
      </c>
    </row>
    <row r="64" spans="1:12" x14ac:dyDescent="0.3">
      <c r="A64">
        <v>23232</v>
      </c>
      <c r="B64">
        <v>503</v>
      </c>
      <c r="C64" t="s">
        <v>23</v>
      </c>
      <c r="D64" t="s">
        <v>22</v>
      </c>
      <c r="E64" t="s">
        <v>19</v>
      </c>
      <c r="F64" t="s">
        <v>20</v>
      </c>
      <c r="G64" t="s">
        <v>17</v>
      </c>
      <c r="H64">
        <v>1.91372877820064</v>
      </c>
      <c r="I64">
        <v>2.41071969725341</v>
      </c>
      <c r="J64">
        <v>63</v>
      </c>
      <c r="K64">
        <v>6.6387393848173204</v>
      </c>
      <c r="L64">
        <v>-2.8112818284160399</v>
      </c>
    </row>
    <row r="65" spans="1:12" x14ac:dyDescent="0.3">
      <c r="A65">
        <v>22221</v>
      </c>
      <c r="B65">
        <v>171</v>
      </c>
      <c r="C65" t="s">
        <v>23</v>
      </c>
      <c r="D65" t="s">
        <v>21</v>
      </c>
      <c r="E65" t="s">
        <v>18</v>
      </c>
      <c r="F65" t="s">
        <v>20</v>
      </c>
      <c r="G65" t="s">
        <v>16</v>
      </c>
      <c r="H65">
        <v>1.92609139107468</v>
      </c>
      <c r="I65">
        <v>2.3132715795353702</v>
      </c>
      <c r="J65">
        <v>64</v>
      </c>
      <c r="K65">
        <v>6.4601036869639996</v>
      </c>
      <c r="L65">
        <v>-2.6079209048146401</v>
      </c>
    </row>
    <row r="66" spans="1:12" x14ac:dyDescent="0.3">
      <c r="A66">
        <v>23132</v>
      </c>
      <c r="B66">
        <v>470</v>
      </c>
      <c r="C66" t="s">
        <v>23</v>
      </c>
      <c r="D66" t="s">
        <v>22</v>
      </c>
      <c r="E66" t="s">
        <v>19</v>
      </c>
      <c r="F66" t="s">
        <v>15</v>
      </c>
      <c r="G66" t="s">
        <v>17</v>
      </c>
      <c r="H66">
        <v>2.0040712807376</v>
      </c>
      <c r="I66">
        <v>2.12494146864181</v>
      </c>
      <c r="J66">
        <v>65</v>
      </c>
      <c r="K66">
        <v>6.1689565592755402</v>
      </c>
      <c r="L66">
        <v>-2.1608139978003398</v>
      </c>
    </row>
    <row r="67" spans="1:12" x14ac:dyDescent="0.3">
      <c r="A67">
        <v>23231</v>
      </c>
      <c r="B67">
        <v>249</v>
      </c>
      <c r="C67" t="s">
        <v>23</v>
      </c>
      <c r="D67" t="s">
        <v>22</v>
      </c>
      <c r="E67" t="s">
        <v>19</v>
      </c>
      <c r="F67" t="s">
        <v>20</v>
      </c>
      <c r="G67" t="s">
        <v>16</v>
      </c>
      <c r="H67">
        <v>2.02761178588774</v>
      </c>
      <c r="I67">
        <v>2.6023306738534999</v>
      </c>
      <c r="J67">
        <v>66</v>
      </c>
      <c r="K67">
        <v>7.12817990664061</v>
      </c>
      <c r="L67">
        <v>-3.0729563348651299</v>
      </c>
    </row>
    <row r="68" spans="1:12" x14ac:dyDescent="0.3">
      <c r="A68">
        <v>23222</v>
      </c>
      <c r="B68">
        <v>351</v>
      </c>
      <c r="C68" t="s">
        <v>23</v>
      </c>
      <c r="D68" t="s">
        <v>22</v>
      </c>
      <c r="E68" t="s">
        <v>18</v>
      </c>
      <c r="F68" t="s">
        <v>20</v>
      </c>
      <c r="G68" t="s">
        <v>17</v>
      </c>
      <c r="H68">
        <v>2.03729020957124</v>
      </c>
      <c r="I68">
        <v>2.76960709768053</v>
      </c>
      <c r="J68">
        <v>67</v>
      </c>
      <c r="K68">
        <v>7.4657201210250896</v>
      </c>
      <c r="L68">
        <v>-3.3911397018825999</v>
      </c>
    </row>
    <row r="69" spans="1:12" x14ac:dyDescent="0.3">
      <c r="A69" s="2">
        <v>11231</v>
      </c>
      <c r="B69" s="2">
        <v>344</v>
      </c>
      <c r="C69" s="2" t="s">
        <v>12</v>
      </c>
      <c r="D69" s="2" t="s">
        <v>13</v>
      </c>
      <c r="E69" s="2" t="s">
        <v>19</v>
      </c>
      <c r="F69" s="2" t="s">
        <v>20</v>
      </c>
      <c r="G69" s="2" t="s">
        <v>16</v>
      </c>
      <c r="H69" s="2">
        <v>2.30173440971988</v>
      </c>
      <c r="I69" s="2">
        <v>1.5511595938199501</v>
      </c>
      <c r="J69" s="2">
        <v>68</v>
      </c>
      <c r="K69" s="2">
        <v>5.3420072136069896</v>
      </c>
      <c r="L69" s="2">
        <v>-0.738538394167229</v>
      </c>
    </row>
    <row r="70" spans="1:12" x14ac:dyDescent="0.3">
      <c r="A70" s="2">
        <v>12221</v>
      </c>
      <c r="B70" s="2">
        <v>204</v>
      </c>
      <c r="C70" s="2" t="s">
        <v>12</v>
      </c>
      <c r="D70" s="2" t="s">
        <v>21</v>
      </c>
      <c r="E70" s="2" t="s">
        <v>18</v>
      </c>
      <c r="F70" s="2" t="s">
        <v>20</v>
      </c>
      <c r="G70" s="2" t="s">
        <v>16</v>
      </c>
      <c r="H70" s="2">
        <v>2.3544956133970398</v>
      </c>
      <c r="I70" s="2">
        <v>1.5291889966143699</v>
      </c>
      <c r="J70" s="2">
        <v>69</v>
      </c>
      <c r="K70" s="2">
        <v>5.3517060467612003</v>
      </c>
      <c r="L70" s="2">
        <v>-0.64271481996711799</v>
      </c>
    </row>
    <row r="71" spans="1:12" x14ac:dyDescent="0.3">
      <c r="A71" s="2">
        <v>22231</v>
      </c>
      <c r="B71" s="2">
        <v>282</v>
      </c>
      <c r="C71" s="2" t="s">
        <v>23</v>
      </c>
      <c r="D71" s="2" t="s">
        <v>21</v>
      </c>
      <c r="E71" s="2" t="s">
        <v>19</v>
      </c>
      <c r="F71" s="2" t="s">
        <v>20</v>
      </c>
      <c r="G71" s="2" t="s">
        <v>16</v>
      </c>
      <c r="H71" s="2">
        <v>3.03649228297169</v>
      </c>
      <c r="I71" s="2">
        <v>2.1170618841456501</v>
      </c>
      <c r="J71" s="2">
        <v>70</v>
      </c>
      <c r="K71" s="2">
        <v>7.1859335758971596</v>
      </c>
      <c r="L71" s="2">
        <v>-1.11294900995379</v>
      </c>
    </row>
    <row r="72" spans="1:12" x14ac:dyDescent="0.3">
      <c r="A72" s="2">
        <v>23112</v>
      </c>
      <c r="B72" s="2">
        <v>195</v>
      </c>
      <c r="C72" s="2" t="s">
        <v>23</v>
      </c>
      <c r="D72" s="2" t="s">
        <v>22</v>
      </c>
      <c r="E72" s="2" t="s">
        <v>14</v>
      </c>
      <c r="F72" s="2" t="s">
        <v>15</v>
      </c>
      <c r="G72" s="2" t="s">
        <v>17</v>
      </c>
      <c r="H72" s="2">
        <v>3.4491845799496001</v>
      </c>
      <c r="I72" s="2">
        <v>2.0454092255322101</v>
      </c>
      <c r="J72" s="2">
        <v>71</v>
      </c>
      <c r="K72" s="2">
        <v>7.4581866619927304</v>
      </c>
      <c r="L72" s="2">
        <v>-0.55981750209351999</v>
      </c>
    </row>
    <row r="73" spans="1:12" x14ac:dyDescent="0.3">
      <c r="A73" s="2">
        <v>23122</v>
      </c>
      <c r="B73" s="2">
        <v>246</v>
      </c>
      <c r="C73" s="2" t="s">
        <v>23</v>
      </c>
      <c r="D73" s="2" t="s">
        <v>22</v>
      </c>
      <c r="E73" s="2" t="s">
        <v>18</v>
      </c>
      <c r="F73" s="2" t="s">
        <v>15</v>
      </c>
      <c r="G73" s="2" t="s">
        <v>17</v>
      </c>
      <c r="H73" s="2">
        <v>4.0797665966643297</v>
      </c>
      <c r="I73" s="2">
        <v>2.8003161555005098</v>
      </c>
      <c r="J73" s="2">
        <v>72</v>
      </c>
      <c r="K73" s="2">
        <v>9.5683862614453403</v>
      </c>
      <c r="L73" s="2">
        <v>-1.40885306811668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AEF5-EBDB-4210-BAA2-48E8D8062F6B}">
  <dimension ref="A1:AA73"/>
  <sheetViews>
    <sheetView workbookViewId="0">
      <selection sqref="A1:G1048576"/>
    </sheetView>
  </sheetViews>
  <sheetFormatPr baseColWidth="10" defaultColWidth="8.88671875" defaultRowHeight="14.4" x14ac:dyDescent="0.3"/>
  <cols>
    <col min="1" max="1" width="9.5546875" customWidth="1"/>
    <col min="2" max="2" width="9.33203125" customWidth="1"/>
    <col min="4" max="4" width="11.6640625" customWidth="1"/>
    <col min="5" max="6" width="9.33203125" customWidth="1"/>
    <col min="7" max="7" width="9.5546875" customWidth="1"/>
    <col min="8" max="8" width="15.6640625" customWidth="1"/>
    <col min="9" max="9" width="15.5546875" customWidth="1"/>
    <col min="10" max="10" width="16" customWidth="1"/>
    <col min="11" max="11" width="14.5546875" customWidth="1"/>
    <col min="12" max="12" width="12.88671875" customWidth="1"/>
    <col min="13" max="13" width="13.88671875" customWidth="1"/>
    <col min="14" max="14" width="13.6640625" customWidth="1"/>
    <col min="15" max="15" width="12.5546875" customWidth="1"/>
    <col min="16" max="16" width="13.44140625" customWidth="1"/>
    <col min="17" max="17" width="13.33203125" customWidth="1"/>
    <col min="18" max="18" width="9.88671875" customWidth="1"/>
    <col min="19" max="19" width="10.33203125" customWidth="1"/>
    <col min="20" max="20" width="8.88671875" customWidth="1"/>
    <col min="21" max="21" width="11.109375" customWidth="1"/>
    <col min="22" max="22" width="9" customWidth="1"/>
    <col min="23" max="23" width="9.33203125" customWidth="1"/>
  </cols>
  <sheetData>
    <row r="1" spans="1:27" x14ac:dyDescent="0.3">
      <c r="A1" t="s">
        <v>0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43</v>
      </c>
      <c r="AA1" t="s">
        <v>46</v>
      </c>
    </row>
    <row r="2" spans="1:27" x14ac:dyDescent="0.3">
      <c r="A2" s="1">
        <v>13212</v>
      </c>
      <c r="B2" s="1">
        <v>347</v>
      </c>
      <c r="C2" s="1" t="s">
        <v>12</v>
      </c>
      <c r="D2" s="1" t="s">
        <v>22</v>
      </c>
      <c r="E2" s="1" t="s">
        <v>14</v>
      </c>
      <c r="F2" s="1" t="s">
        <v>20</v>
      </c>
      <c r="G2" s="1" t="s">
        <v>17</v>
      </c>
      <c r="H2" s="1">
        <v>9.2219020172910698E-2</v>
      </c>
      <c r="I2" s="1">
        <v>9.5089386154503597</v>
      </c>
      <c r="J2" s="1">
        <v>12.1590354015269</v>
      </c>
      <c r="K2" s="1">
        <v>-1.8205372041621499</v>
      </c>
      <c r="L2" s="1">
        <v>13.9257764359039</v>
      </c>
      <c r="M2" s="1">
        <v>15.905035171658501</v>
      </c>
      <c r="N2" s="1">
        <v>12.0716643775549</v>
      </c>
      <c r="O2" s="1">
        <v>11.4131997169369</v>
      </c>
      <c r="P2" s="1">
        <v>14.725658499400099</v>
      </c>
      <c r="Q2" s="1">
        <v>8.9435998470631795</v>
      </c>
      <c r="R2" s="1">
        <v>1.47501496233084</v>
      </c>
      <c r="S2" s="1">
        <v>0.97790071278153201</v>
      </c>
      <c r="T2" s="1">
        <v>1.76973414476821</v>
      </c>
      <c r="U2" s="1">
        <v>-2.5125767189669701</v>
      </c>
      <c r="V2" s="1">
        <v>-5.98125564271266</v>
      </c>
      <c r="W2" s="1">
        <v>0.95610220477872898</v>
      </c>
      <c r="X2" s="1">
        <v>1</v>
      </c>
    </row>
    <row r="3" spans="1:27" x14ac:dyDescent="0.3">
      <c r="A3" s="1">
        <v>21132</v>
      </c>
      <c r="B3" s="1">
        <v>514</v>
      </c>
      <c r="C3" s="1" t="s">
        <v>23</v>
      </c>
      <c r="D3" s="1" t="s">
        <v>13</v>
      </c>
      <c r="E3" s="1" t="s">
        <v>19</v>
      </c>
      <c r="F3" s="1" t="s">
        <v>15</v>
      </c>
      <c r="G3" s="1" t="s">
        <v>17</v>
      </c>
      <c r="H3" s="1">
        <v>9.5330739299610903E-2</v>
      </c>
      <c r="I3" s="1">
        <v>9.7105309086370202</v>
      </c>
      <c r="J3" s="1">
        <v>12.1590354015269</v>
      </c>
      <c r="K3" s="1">
        <v>-1.8437804605497901</v>
      </c>
      <c r="L3" s="1">
        <v>13.6941699643727</v>
      </c>
      <c r="M3" s="1">
        <v>15.660901943604699</v>
      </c>
      <c r="N3" s="1">
        <v>12.065718421533999</v>
      </c>
      <c r="O3" s="1">
        <v>11.315087987982301</v>
      </c>
      <c r="P3" s="1">
        <v>14.0193221350365</v>
      </c>
      <c r="Q3" s="1">
        <v>8.9068747808792104</v>
      </c>
      <c r="R3" s="1">
        <v>1.30419575361155</v>
      </c>
      <c r="S3" s="1">
        <v>0.917138653589473</v>
      </c>
      <c r="T3" s="1">
        <v>1.5943869899263201</v>
      </c>
      <c r="U3" s="1">
        <v>-2.3790819763903399</v>
      </c>
      <c r="V3" s="1">
        <v>-5.5040804766459299</v>
      </c>
      <c r="W3" s="1">
        <v>0.74591652386524898</v>
      </c>
      <c r="X3" s="1">
        <v>2</v>
      </c>
    </row>
    <row r="4" spans="1:27" x14ac:dyDescent="0.3">
      <c r="A4" s="1">
        <v>12222</v>
      </c>
      <c r="B4" s="1">
        <v>364</v>
      </c>
      <c r="C4" s="1" t="s">
        <v>12</v>
      </c>
      <c r="D4" s="1" t="s">
        <v>21</v>
      </c>
      <c r="E4" s="1" t="s">
        <v>18</v>
      </c>
      <c r="F4" s="1" t="s">
        <v>20</v>
      </c>
      <c r="G4" s="1" t="s">
        <v>17</v>
      </c>
      <c r="H4" s="1">
        <v>7.4175824175824204E-2</v>
      </c>
      <c r="I4" s="1">
        <v>7.8936502671805098</v>
      </c>
      <c r="J4" s="1">
        <v>12.1590354015269</v>
      </c>
      <c r="K4" s="1">
        <v>-1.97624536015701</v>
      </c>
      <c r="L4" s="1">
        <v>12.1375718364819</v>
      </c>
      <c r="M4" s="1">
        <v>14.0951615609687</v>
      </c>
      <c r="N4" s="1">
        <v>10.409331225157199</v>
      </c>
      <c r="O4" s="1">
        <v>9.8200382469118797</v>
      </c>
      <c r="P4" s="1">
        <v>12.5741105587257</v>
      </c>
      <c r="Q4" s="1">
        <v>7.5735875970533204</v>
      </c>
      <c r="R4" s="1">
        <v>1.27564361267153</v>
      </c>
      <c r="S4" s="1">
        <v>0.94026284076824695</v>
      </c>
      <c r="T4" s="1">
        <v>1.5847273697009401</v>
      </c>
      <c r="U4" s="1">
        <v>-2.3175335895700302</v>
      </c>
      <c r="V4" s="1">
        <v>-5.4235992341838699</v>
      </c>
      <c r="W4" s="1">
        <v>0.78853205504380997</v>
      </c>
      <c r="X4" s="1">
        <v>3</v>
      </c>
    </row>
    <row r="5" spans="1:27" x14ac:dyDescent="0.3">
      <c r="A5" s="1">
        <v>21222</v>
      </c>
      <c r="B5" s="1">
        <v>399</v>
      </c>
      <c r="C5" s="1" t="s">
        <v>23</v>
      </c>
      <c r="D5" s="1" t="s">
        <v>13</v>
      </c>
      <c r="E5" s="1" t="s">
        <v>18</v>
      </c>
      <c r="F5" s="1" t="s">
        <v>20</v>
      </c>
      <c r="G5" s="1" t="s">
        <v>17</v>
      </c>
      <c r="H5" s="1">
        <v>0.17042606516290701</v>
      </c>
      <c r="I5" s="1">
        <v>16.706622024985201</v>
      </c>
      <c r="J5" s="1">
        <v>12.1590354015269</v>
      </c>
      <c r="K5" s="1">
        <v>-1.38026384830674</v>
      </c>
      <c r="L5" s="1">
        <v>20.084125813347999</v>
      </c>
      <c r="M5" s="1">
        <v>22.6165500133961</v>
      </c>
      <c r="N5" s="1">
        <v>17.613419341870099</v>
      </c>
      <c r="O5" s="1">
        <v>18.3103763802057</v>
      </c>
      <c r="P5" s="1">
        <v>22.1995768096455</v>
      </c>
      <c r="Q5" s="1">
        <v>14.6477112373354</v>
      </c>
      <c r="R5" s="1">
        <v>1.9264963194668601</v>
      </c>
      <c r="S5" s="1">
        <v>1.2763088447770501</v>
      </c>
      <c r="T5" s="1">
        <v>2.3109202357882199</v>
      </c>
      <c r="U5" s="1">
        <v>-1.7737494331422901</v>
      </c>
      <c r="V5" s="1">
        <v>-6.3031530952872004</v>
      </c>
      <c r="W5" s="1">
        <v>2.7556542290026198</v>
      </c>
      <c r="X5" s="1">
        <v>4</v>
      </c>
    </row>
    <row r="6" spans="1:27" x14ac:dyDescent="0.3">
      <c r="A6" s="1">
        <v>13232</v>
      </c>
      <c r="B6" s="1">
        <v>543</v>
      </c>
      <c r="C6" s="1" t="s">
        <v>12</v>
      </c>
      <c r="D6" s="1" t="s">
        <v>22</v>
      </c>
      <c r="E6" s="1" t="s">
        <v>19</v>
      </c>
      <c r="F6" s="1" t="s">
        <v>20</v>
      </c>
      <c r="G6" s="1" t="s">
        <v>17</v>
      </c>
      <c r="H6" s="1">
        <v>0.16022099447513799</v>
      </c>
      <c r="I6" s="1">
        <v>15.818630365509501</v>
      </c>
      <c r="J6" s="1">
        <v>12.1590354015269</v>
      </c>
      <c r="K6" s="1">
        <v>-1.5126217745520101</v>
      </c>
      <c r="L6" s="1">
        <v>18.047689198877499</v>
      </c>
      <c r="M6" s="1">
        <v>20.417064694471101</v>
      </c>
      <c r="N6" s="1">
        <v>15.9943923572897</v>
      </c>
      <c r="O6" s="1">
        <v>16.5767407829143</v>
      </c>
      <c r="P6" s="1">
        <v>20.271922954726001</v>
      </c>
      <c r="Q6" s="1">
        <v>13.546634944253899</v>
      </c>
      <c r="R6" s="1">
        <v>1.7156346965489999</v>
      </c>
      <c r="S6" s="1">
        <v>1.12823273907691</v>
      </c>
      <c r="T6" s="1">
        <v>2.0533659015206598</v>
      </c>
      <c r="U6" s="1">
        <v>-1.47094841596318</v>
      </c>
      <c r="V6" s="1">
        <v>-5.4955455829436799</v>
      </c>
      <c r="W6" s="1">
        <v>2.5536487510173198</v>
      </c>
      <c r="X6" s="1">
        <v>5</v>
      </c>
    </row>
    <row r="7" spans="1:27" x14ac:dyDescent="0.3">
      <c r="A7">
        <v>23131</v>
      </c>
      <c r="B7">
        <v>222</v>
      </c>
      <c r="C7" t="s">
        <v>23</v>
      </c>
      <c r="D7" t="s">
        <v>22</v>
      </c>
      <c r="E7" t="s">
        <v>19</v>
      </c>
      <c r="F7" t="s">
        <v>15</v>
      </c>
      <c r="G7" t="s">
        <v>16</v>
      </c>
      <c r="H7">
        <v>0.13063063063063099</v>
      </c>
      <c r="I7">
        <v>12.9462648049885</v>
      </c>
      <c r="J7">
        <v>12.1590354015269</v>
      </c>
      <c r="K7">
        <v>-1.62456437289844</v>
      </c>
      <c r="L7">
        <v>16.513653680542699</v>
      </c>
      <c r="M7">
        <v>18.897075456481701</v>
      </c>
      <c r="N7">
        <v>14.2800543747557</v>
      </c>
      <c r="O7">
        <v>15.094662254443</v>
      </c>
      <c r="P7">
        <v>19.1442457372954</v>
      </c>
      <c r="Q7">
        <v>11.7844215294941</v>
      </c>
      <c r="R7">
        <v>1.8775061754595299</v>
      </c>
      <c r="S7">
        <v>1.17781150044028</v>
      </c>
      <c r="T7">
        <v>2.2163639975098999</v>
      </c>
      <c r="U7">
        <v>-1.4189914260996499</v>
      </c>
      <c r="V7">
        <v>-5.7630648612190498</v>
      </c>
      <c r="W7">
        <v>2.92508200901975</v>
      </c>
      <c r="X7">
        <v>6</v>
      </c>
    </row>
    <row r="8" spans="1:27" x14ac:dyDescent="0.3">
      <c r="A8">
        <v>13211</v>
      </c>
      <c r="B8">
        <v>142</v>
      </c>
      <c r="C8" t="s">
        <v>12</v>
      </c>
      <c r="D8" t="s">
        <v>22</v>
      </c>
      <c r="E8" t="s">
        <v>14</v>
      </c>
      <c r="F8" t="s">
        <v>20</v>
      </c>
      <c r="G8" t="s">
        <v>16</v>
      </c>
      <c r="H8">
        <v>6.3380281690140802E-2</v>
      </c>
      <c r="I8">
        <v>7.6462523270617897</v>
      </c>
      <c r="J8">
        <v>12.1590354015269</v>
      </c>
      <c r="K8">
        <v>-2.0972128980537299</v>
      </c>
      <c r="L8">
        <v>10.9113260310946</v>
      </c>
      <c r="M8">
        <v>12.841086945591201</v>
      </c>
      <c r="N8">
        <v>9.3953375460259902</v>
      </c>
      <c r="O8">
        <v>9.5735614362485606</v>
      </c>
      <c r="P8">
        <v>13.092074945368999</v>
      </c>
      <c r="Q8">
        <v>6.9974166687335</v>
      </c>
      <c r="R8">
        <v>1.5547597644478199</v>
      </c>
      <c r="S8">
        <v>0.87901770397071599</v>
      </c>
      <c r="T8">
        <v>1.7860431263101699</v>
      </c>
      <c r="U8">
        <v>-1.3377645948460799</v>
      </c>
      <c r="V8">
        <v>-4.83840912241401</v>
      </c>
      <c r="W8">
        <v>2.16287993272186</v>
      </c>
      <c r="X8">
        <v>7</v>
      </c>
    </row>
    <row r="9" spans="1:27" x14ac:dyDescent="0.3">
      <c r="A9">
        <v>13222</v>
      </c>
      <c r="B9">
        <v>377</v>
      </c>
      <c r="C9" t="s">
        <v>12</v>
      </c>
      <c r="D9" t="s">
        <v>22</v>
      </c>
      <c r="E9" t="s">
        <v>18</v>
      </c>
      <c r="F9" t="s">
        <v>20</v>
      </c>
      <c r="G9" t="s">
        <v>17</v>
      </c>
      <c r="H9">
        <v>0.159151193633952</v>
      </c>
      <c r="I9">
        <v>15.635319685342999</v>
      </c>
      <c r="J9">
        <v>12.1590354015269</v>
      </c>
      <c r="K9">
        <v>-1.5289753613452901</v>
      </c>
      <c r="L9">
        <v>17.752189582842</v>
      </c>
      <c r="M9">
        <v>20.198876375071201</v>
      </c>
      <c r="N9">
        <v>15.5316993133744</v>
      </c>
      <c r="O9">
        <v>16.493225286717902</v>
      </c>
      <c r="P9">
        <v>20.409435566170998</v>
      </c>
      <c r="Q9">
        <v>13.224733746400601</v>
      </c>
      <c r="R9">
        <v>1.8328320968802101</v>
      </c>
      <c r="S9">
        <v>1.19060639328999</v>
      </c>
      <c r="T9">
        <v>2.1855930726229298</v>
      </c>
      <c r="U9">
        <v>-1.2589642961241601</v>
      </c>
      <c r="V9">
        <v>-5.5427267184650999</v>
      </c>
      <c r="W9">
        <v>3.0247981262167798</v>
      </c>
      <c r="X9">
        <v>8</v>
      </c>
    </row>
    <row r="10" spans="1:27" x14ac:dyDescent="0.3">
      <c r="A10">
        <v>23121</v>
      </c>
      <c r="B10">
        <v>119</v>
      </c>
      <c r="C10" t="s">
        <v>23</v>
      </c>
      <c r="D10" t="s">
        <v>22</v>
      </c>
      <c r="E10" t="s">
        <v>18</v>
      </c>
      <c r="F10" t="s">
        <v>15</v>
      </c>
      <c r="G10" t="s">
        <v>16</v>
      </c>
      <c r="H10">
        <v>0.126050420168067</v>
      </c>
      <c r="I10">
        <v>12.507222148578901</v>
      </c>
      <c r="J10">
        <v>12.1590354015269</v>
      </c>
      <c r="K10">
        <v>-1.6409179596917201</v>
      </c>
      <c r="L10">
        <v>16.215603076443799</v>
      </c>
      <c r="M10">
        <v>18.640609828260899</v>
      </c>
      <c r="N10">
        <v>14.0753417114275</v>
      </c>
      <c r="O10">
        <v>15.128438451205099</v>
      </c>
      <c r="P10">
        <v>19.763822973106102</v>
      </c>
      <c r="Q10">
        <v>11.1920416981913</v>
      </c>
      <c r="R10">
        <v>2.1866788966619199</v>
      </c>
      <c r="S10">
        <v>1.16460921347791</v>
      </c>
      <c r="T10">
        <v>2.4774743625765798</v>
      </c>
      <c r="U10">
        <v>-1.08716462523862</v>
      </c>
      <c r="V10">
        <v>-5.9430143758887102</v>
      </c>
      <c r="W10">
        <v>3.7686851254114799</v>
      </c>
      <c r="X10">
        <v>9</v>
      </c>
    </row>
    <row r="11" spans="1:27" x14ac:dyDescent="0.3">
      <c r="A11">
        <v>12232</v>
      </c>
      <c r="B11">
        <v>511</v>
      </c>
      <c r="C11" t="s">
        <v>12</v>
      </c>
      <c r="D11" t="s">
        <v>21</v>
      </c>
      <c r="E11" t="s">
        <v>19</v>
      </c>
      <c r="F11" t="s">
        <v>20</v>
      </c>
      <c r="G11" t="s">
        <v>17</v>
      </c>
      <c r="H11">
        <v>0.105675146771037</v>
      </c>
      <c r="I11">
        <v>10.6716832194752</v>
      </c>
      <c r="J11">
        <v>12.1590354015269</v>
      </c>
      <c r="K11">
        <v>-1.95989177336373</v>
      </c>
      <c r="L11">
        <v>12.3723298323709</v>
      </c>
      <c r="M11">
        <v>14.2456874015559</v>
      </c>
      <c r="N11">
        <v>10.83240713402</v>
      </c>
      <c r="O11">
        <v>11.323878680553101</v>
      </c>
      <c r="P11">
        <v>14.213890428250499</v>
      </c>
      <c r="Q11">
        <v>8.8681469294123492</v>
      </c>
      <c r="R11">
        <v>1.36371007623422</v>
      </c>
      <c r="S11">
        <v>0.87073476212650303</v>
      </c>
      <c r="T11">
        <v>1.6179877001999301</v>
      </c>
      <c r="U11">
        <v>-1.0484511518177999</v>
      </c>
      <c r="V11">
        <v>-4.2197070442096596</v>
      </c>
      <c r="W11">
        <v>2.1228047405740602</v>
      </c>
      <c r="X11">
        <v>10</v>
      </c>
    </row>
    <row r="12" spans="1:27" x14ac:dyDescent="0.3">
      <c r="A12">
        <v>21121</v>
      </c>
      <c r="B12">
        <v>128</v>
      </c>
      <c r="C12" t="s">
        <v>23</v>
      </c>
      <c r="D12" t="s">
        <v>13</v>
      </c>
      <c r="E12" t="s">
        <v>18</v>
      </c>
      <c r="F12" t="s">
        <v>15</v>
      </c>
      <c r="G12" t="s">
        <v>16</v>
      </c>
      <c r="H12">
        <v>6.25E-2</v>
      </c>
      <c r="I12">
        <v>7.6856098323612096</v>
      </c>
      <c r="J12">
        <v>12.1590354015269</v>
      </c>
      <c r="K12">
        <v>-2.1368097412346501</v>
      </c>
      <c r="L12">
        <v>10.5623516378432</v>
      </c>
      <c r="M12">
        <v>12.3264956090004</v>
      </c>
      <c r="N12">
        <v>9.0587117934050401</v>
      </c>
      <c r="O12">
        <v>9.5502015800403601</v>
      </c>
      <c r="P12">
        <v>13.040416335641799</v>
      </c>
      <c r="Q12">
        <v>6.88077538496883</v>
      </c>
      <c r="R12">
        <v>1.5713369772124901</v>
      </c>
      <c r="S12">
        <v>0.83361832030493399</v>
      </c>
      <c r="T12">
        <v>1.7787690687391999</v>
      </c>
      <c r="U12">
        <v>-1.01215005780282</v>
      </c>
      <c r="V12">
        <v>-4.4985374325316503</v>
      </c>
      <c r="W12">
        <v>2.4742373169260099</v>
      </c>
      <c r="X12">
        <v>11</v>
      </c>
    </row>
    <row r="13" spans="1:27" x14ac:dyDescent="0.3">
      <c r="A13">
        <v>13131</v>
      </c>
      <c r="B13">
        <v>225</v>
      </c>
      <c r="C13" t="s">
        <v>12</v>
      </c>
      <c r="D13" t="s">
        <v>22</v>
      </c>
      <c r="E13" t="s">
        <v>19</v>
      </c>
      <c r="F13" t="s">
        <v>15</v>
      </c>
      <c r="G13" t="s">
        <v>16</v>
      </c>
      <c r="H13">
        <v>6.6666666666666693E-2</v>
      </c>
      <c r="I13">
        <v>7.5210092411826004</v>
      </c>
      <c r="J13">
        <v>12.1590354015269</v>
      </c>
      <c r="K13">
        <v>-2.2691676674799202</v>
      </c>
      <c r="L13">
        <v>9.3664876925665794</v>
      </c>
      <c r="M13">
        <v>10.869390526550999</v>
      </c>
      <c r="N13">
        <v>8.0406184109237504</v>
      </c>
      <c r="O13">
        <v>8.4035574211936304</v>
      </c>
      <c r="P13">
        <v>11.069919595773399</v>
      </c>
      <c r="Q13">
        <v>6.4948246040623303</v>
      </c>
      <c r="R13">
        <v>1.1671160693140501</v>
      </c>
      <c r="S13">
        <v>0.72162553970082699</v>
      </c>
      <c r="T13">
        <v>1.37218925035856</v>
      </c>
      <c r="U13">
        <v>-0.96293027137294596</v>
      </c>
      <c r="V13">
        <v>-3.6524212020757201</v>
      </c>
      <c r="W13">
        <v>1.7265606593298299</v>
      </c>
      <c r="X13">
        <v>12</v>
      </c>
    </row>
    <row r="14" spans="1:27" x14ac:dyDescent="0.3">
      <c r="A14">
        <v>13231</v>
      </c>
      <c r="B14">
        <v>225</v>
      </c>
      <c r="C14" t="s">
        <v>12</v>
      </c>
      <c r="D14" t="s">
        <v>22</v>
      </c>
      <c r="E14" t="s">
        <v>19</v>
      </c>
      <c r="F14" t="s">
        <v>20</v>
      </c>
      <c r="G14" t="s">
        <v>16</v>
      </c>
      <c r="H14">
        <v>0.124444444444444</v>
      </c>
      <c r="I14">
        <v>12.407411332831099</v>
      </c>
      <c r="J14">
        <v>12.1590354015269</v>
      </c>
      <c r="K14">
        <v>-1.7892974684435901</v>
      </c>
      <c r="L14">
        <v>14.309242354874099</v>
      </c>
      <c r="M14">
        <v>16.423029277786</v>
      </c>
      <c r="N14">
        <v>12.488270603755501</v>
      </c>
      <c r="O14">
        <v>13.394133913234199</v>
      </c>
      <c r="P14">
        <v>17.112476940255998</v>
      </c>
      <c r="Q14">
        <v>10.4456417551055</v>
      </c>
      <c r="R14">
        <v>1.7007232615179799</v>
      </c>
      <c r="S14">
        <v>1.0037649678649301</v>
      </c>
      <c r="T14">
        <v>1.9748427084153399</v>
      </c>
      <c r="U14">
        <v>-0.91510844163990501</v>
      </c>
      <c r="V14">
        <v>-4.7858001501339702</v>
      </c>
      <c r="W14">
        <v>2.95558326685416</v>
      </c>
      <c r="X14">
        <v>13</v>
      </c>
    </row>
    <row r="15" spans="1:27" x14ac:dyDescent="0.3">
      <c r="A15">
        <v>22121</v>
      </c>
      <c r="B15">
        <v>128</v>
      </c>
      <c r="C15" t="s">
        <v>23</v>
      </c>
      <c r="D15" t="s">
        <v>21</v>
      </c>
      <c r="E15" t="s">
        <v>18</v>
      </c>
      <c r="F15" t="s">
        <v>15</v>
      </c>
      <c r="G15" t="s">
        <v>16</v>
      </c>
      <c r="H15">
        <v>7.03125E-2</v>
      </c>
      <c r="I15">
        <v>8.2495905595678405</v>
      </c>
      <c r="J15">
        <v>12.1590354015269</v>
      </c>
      <c r="K15">
        <v>-2.0881879585034402</v>
      </c>
      <c r="L15">
        <v>11.019301053416701</v>
      </c>
      <c r="M15">
        <v>12.9422466768841</v>
      </c>
      <c r="N15">
        <v>9.3476837313433307</v>
      </c>
      <c r="O15">
        <v>10.1171424397088</v>
      </c>
      <c r="P15">
        <v>13.3506063291928</v>
      </c>
      <c r="Q15">
        <v>7.3811300935536899</v>
      </c>
      <c r="R15">
        <v>1.52282557031611</v>
      </c>
      <c r="S15">
        <v>0.91698034325018796</v>
      </c>
      <c r="T15">
        <v>1.77759687992408</v>
      </c>
      <c r="U15">
        <v>-0.90215861370789197</v>
      </c>
      <c r="V15">
        <v>-4.3862484983590804</v>
      </c>
      <c r="W15">
        <v>2.5819312709433002</v>
      </c>
      <c r="X15">
        <v>14</v>
      </c>
    </row>
    <row r="16" spans="1:27" x14ac:dyDescent="0.3">
      <c r="A16">
        <v>13221</v>
      </c>
      <c r="B16">
        <v>192</v>
      </c>
      <c r="C16" t="s">
        <v>12</v>
      </c>
      <c r="D16" t="s">
        <v>22</v>
      </c>
      <c r="E16" t="s">
        <v>18</v>
      </c>
      <c r="F16" t="s">
        <v>20</v>
      </c>
      <c r="G16" t="s">
        <v>16</v>
      </c>
      <c r="H16">
        <v>0.119791666666667</v>
      </c>
      <c r="I16">
        <v>12.006244298552801</v>
      </c>
      <c r="J16">
        <v>12.1590354015269</v>
      </c>
      <c r="K16">
        <v>-1.8056510552368801</v>
      </c>
      <c r="L16">
        <v>14.107634671392301</v>
      </c>
      <c r="M16">
        <v>16.312588388407399</v>
      </c>
      <c r="N16">
        <v>12.298849461073599</v>
      </c>
      <c r="O16">
        <v>13.220614253604801</v>
      </c>
      <c r="P16">
        <v>17.1875610621262</v>
      </c>
      <c r="Q16">
        <v>10.1170142876543</v>
      </c>
      <c r="R16">
        <v>1.80371091185509</v>
      </c>
      <c r="S16">
        <v>1.02391299166679</v>
      </c>
      <c r="T16">
        <v>2.0740710855824398</v>
      </c>
      <c r="U16">
        <v>-0.88702041778744301</v>
      </c>
      <c r="V16">
        <v>-4.9521997455290299</v>
      </c>
      <c r="W16">
        <v>3.1781589099541399</v>
      </c>
      <c r="X16">
        <v>15</v>
      </c>
    </row>
    <row r="17" spans="1:24" x14ac:dyDescent="0.3">
      <c r="A17">
        <v>13132</v>
      </c>
      <c r="B17">
        <v>497</v>
      </c>
      <c r="C17" t="s">
        <v>12</v>
      </c>
      <c r="D17" t="s">
        <v>22</v>
      </c>
      <c r="E17" t="s">
        <v>19</v>
      </c>
      <c r="F17" t="s">
        <v>15</v>
      </c>
      <c r="G17" t="s">
        <v>17</v>
      </c>
      <c r="H17">
        <v>0.10462776659959799</v>
      </c>
      <c r="I17">
        <v>10.5771219089269</v>
      </c>
      <c r="J17">
        <v>12.1590354015269</v>
      </c>
      <c r="K17">
        <v>-1.99249197358834</v>
      </c>
      <c r="L17">
        <v>11.9783170558915</v>
      </c>
      <c r="M17">
        <v>13.702636979357299</v>
      </c>
      <c r="N17">
        <v>10.5564023512917</v>
      </c>
      <c r="O17">
        <v>11.116032001734901</v>
      </c>
      <c r="P17">
        <v>14.009822753325301</v>
      </c>
      <c r="Q17">
        <v>8.8136306605724108</v>
      </c>
      <c r="R17">
        <v>1.3255592073349201</v>
      </c>
      <c r="S17">
        <v>0.80261087450653601</v>
      </c>
      <c r="T17">
        <v>1.5496100890309501</v>
      </c>
      <c r="U17">
        <v>-0.86228505415658696</v>
      </c>
      <c r="V17">
        <v>-3.89952082865726</v>
      </c>
      <c r="W17">
        <v>2.1749507203440799</v>
      </c>
      <c r="X17">
        <v>16</v>
      </c>
    </row>
    <row r="18" spans="1:24" x14ac:dyDescent="0.3">
      <c r="A18">
        <v>21122</v>
      </c>
      <c r="B18">
        <v>307</v>
      </c>
      <c r="C18" t="s">
        <v>23</v>
      </c>
      <c r="D18" t="s">
        <v>13</v>
      </c>
      <c r="E18" t="s">
        <v>18</v>
      </c>
      <c r="F18" t="s">
        <v>15</v>
      </c>
      <c r="G18" t="s">
        <v>17</v>
      </c>
      <c r="H18">
        <v>0.11726384364820799</v>
      </c>
      <c r="I18">
        <v>11.769886023253701</v>
      </c>
      <c r="J18">
        <v>12.1590354015269</v>
      </c>
      <c r="K18">
        <v>-1.8601340473430701</v>
      </c>
      <c r="L18">
        <v>13.471115206274501</v>
      </c>
      <c r="M18">
        <v>15.369743188239299</v>
      </c>
      <c r="N18">
        <v>11.7285146399204</v>
      </c>
      <c r="O18">
        <v>12.609324482051401</v>
      </c>
      <c r="P18">
        <v>16.467604474133999</v>
      </c>
      <c r="Q18">
        <v>9.7712624816219105</v>
      </c>
      <c r="R18">
        <v>1.7082505082938899</v>
      </c>
      <c r="S18">
        <v>0.928884833754831</v>
      </c>
      <c r="T18">
        <v>1.94446569356882</v>
      </c>
      <c r="U18">
        <v>-0.86179072422302705</v>
      </c>
      <c r="V18">
        <v>-4.67294348361792</v>
      </c>
      <c r="W18">
        <v>2.9493620351718701</v>
      </c>
      <c r="X18">
        <v>17</v>
      </c>
    </row>
    <row r="19" spans="1:24" x14ac:dyDescent="0.3">
      <c r="A19">
        <v>22111</v>
      </c>
      <c r="B19">
        <v>77</v>
      </c>
      <c r="C19" t="s">
        <v>23</v>
      </c>
      <c r="D19" t="s">
        <v>21</v>
      </c>
      <c r="E19" t="s">
        <v>14</v>
      </c>
      <c r="F19" t="s">
        <v>15</v>
      </c>
      <c r="G19" t="s">
        <v>16</v>
      </c>
      <c r="H19">
        <v>2.5974025974026E-2</v>
      </c>
      <c r="I19">
        <v>6.1266479901339697</v>
      </c>
      <c r="J19">
        <v>12.1590354015269</v>
      </c>
      <c r="K19">
        <v>-2.37974980132029</v>
      </c>
      <c r="L19">
        <v>8.5104183315685091</v>
      </c>
      <c r="M19">
        <v>10.1785379415248</v>
      </c>
      <c r="N19">
        <v>7.0983450716512904</v>
      </c>
      <c r="O19">
        <v>7.6645798961193696</v>
      </c>
      <c r="P19">
        <v>10.760805833405101</v>
      </c>
      <c r="Q19">
        <v>5.3464073186295202</v>
      </c>
      <c r="R19">
        <v>1.3812241109121399</v>
      </c>
      <c r="S19">
        <v>0.78576348721262201</v>
      </c>
      <c r="T19">
        <v>1.58908914237106</v>
      </c>
      <c r="U19">
        <v>-0.84583843544913595</v>
      </c>
      <c r="V19">
        <v>-3.9604531544964101</v>
      </c>
      <c r="W19">
        <v>2.2687762835981302</v>
      </c>
      <c r="X19">
        <v>18</v>
      </c>
    </row>
    <row r="20" spans="1:24" x14ac:dyDescent="0.3">
      <c r="A20">
        <v>22211</v>
      </c>
      <c r="B20">
        <v>144</v>
      </c>
      <c r="C20" t="s">
        <v>23</v>
      </c>
      <c r="D20" t="s">
        <v>21</v>
      </c>
      <c r="E20" t="s">
        <v>14</v>
      </c>
      <c r="F20" t="s">
        <v>20</v>
      </c>
      <c r="G20" t="s">
        <v>16</v>
      </c>
      <c r="H20">
        <v>0.104166666666667</v>
      </c>
      <c r="I20">
        <v>10.7624974604353</v>
      </c>
      <c r="J20">
        <v>12.1590354015269</v>
      </c>
      <c r="K20">
        <v>-1.8998796022839699</v>
      </c>
      <c r="L20">
        <v>13.052371308333401</v>
      </c>
      <c r="M20">
        <v>15.299037974769201</v>
      </c>
      <c r="N20">
        <v>11.217879572130199</v>
      </c>
      <c r="O20">
        <v>12.2244311637987</v>
      </c>
      <c r="P20">
        <v>16.077008824796302</v>
      </c>
      <c r="Q20">
        <v>9.1709986234143095</v>
      </c>
      <c r="R20">
        <v>1.7617372962708999</v>
      </c>
      <c r="S20">
        <v>1.0411118374079</v>
      </c>
      <c r="T20">
        <v>2.04637048431186</v>
      </c>
      <c r="U20">
        <v>-0.82794014453473397</v>
      </c>
      <c r="V20">
        <v>-4.8388262937859796</v>
      </c>
      <c r="W20">
        <v>3.1829460047165199</v>
      </c>
      <c r="X20">
        <v>19</v>
      </c>
    </row>
    <row r="21" spans="1:24" x14ac:dyDescent="0.3">
      <c r="A21">
        <v>21232</v>
      </c>
      <c r="B21">
        <v>544</v>
      </c>
      <c r="C21" t="s">
        <v>23</v>
      </c>
      <c r="D21" t="s">
        <v>13</v>
      </c>
      <c r="E21" t="s">
        <v>19</v>
      </c>
      <c r="F21" t="s">
        <v>20</v>
      </c>
      <c r="G21" t="s">
        <v>17</v>
      </c>
      <c r="H21">
        <v>0.191176470588235</v>
      </c>
      <c r="I21">
        <v>18.776875492842201</v>
      </c>
      <c r="J21">
        <v>12.1590354015269</v>
      </c>
      <c r="K21">
        <v>-1.36391026151346</v>
      </c>
      <c r="L21">
        <v>20.3852562612282</v>
      </c>
      <c r="M21">
        <v>23.0579206566929</v>
      </c>
      <c r="N21">
        <v>17.940833850053298</v>
      </c>
      <c r="O21">
        <v>19.5580926823807</v>
      </c>
      <c r="P21">
        <v>23.317338027969502</v>
      </c>
      <c r="Q21">
        <v>16.2895498697095</v>
      </c>
      <c r="R21">
        <v>1.7928031015969299</v>
      </c>
      <c r="S21">
        <v>1.3053792874080501</v>
      </c>
      <c r="T21">
        <v>2.2176920537102398</v>
      </c>
      <c r="U21">
        <v>-0.82716357884744696</v>
      </c>
      <c r="V21">
        <v>-5.1738400041195103</v>
      </c>
      <c r="W21">
        <v>3.5195128464246199</v>
      </c>
      <c r="X21">
        <v>20</v>
      </c>
    </row>
    <row r="22" spans="1:24" x14ac:dyDescent="0.3">
      <c r="A22">
        <v>21211</v>
      </c>
      <c r="B22">
        <v>138</v>
      </c>
      <c r="C22" t="s">
        <v>23</v>
      </c>
      <c r="D22" t="s">
        <v>13</v>
      </c>
      <c r="E22" t="s">
        <v>14</v>
      </c>
      <c r="F22" t="s">
        <v>20</v>
      </c>
      <c r="G22" t="s">
        <v>16</v>
      </c>
      <c r="H22">
        <v>9.4202898550724598E-2</v>
      </c>
      <c r="I22">
        <v>9.9968288822323395</v>
      </c>
      <c r="J22">
        <v>12.1590354015269</v>
      </c>
      <c r="K22">
        <v>-1.94850138501518</v>
      </c>
      <c r="L22">
        <v>12.473995225166201</v>
      </c>
      <c r="M22">
        <v>14.5156018552925</v>
      </c>
      <c r="N22">
        <v>10.8317551512213</v>
      </c>
      <c r="O22">
        <v>11.6803035158093</v>
      </c>
      <c r="P22">
        <v>15.3313036866637</v>
      </c>
      <c r="Q22">
        <v>8.5463519388035802</v>
      </c>
      <c r="R22">
        <v>1.7308550377194301</v>
      </c>
      <c r="S22">
        <v>0.93975681226305097</v>
      </c>
      <c r="T22">
        <v>1.96951822225475</v>
      </c>
      <c r="U22">
        <v>-0.79369170935686695</v>
      </c>
      <c r="V22">
        <v>-4.6539474249761801</v>
      </c>
      <c r="W22">
        <v>3.0665640062624502</v>
      </c>
      <c r="X22">
        <v>21</v>
      </c>
    </row>
    <row r="23" spans="1:24" x14ac:dyDescent="0.3">
      <c r="A23">
        <v>23212</v>
      </c>
      <c r="B23">
        <v>314</v>
      </c>
      <c r="C23" t="s">
        <v>23</v>
      </c>
      <c r="D23" t="s">
        <v>22</v>
      </c>
      <c r="E23" t="s">
        <v>14</v>
      </c>
      <c r="F23" t="s">
        <v>20</v>
      </c>
      <c r="G23" t="s">
        <v>17</v>
      </c>
      <c r="H23">
        <v>0.22292993630573199</v>
      </c>
      <c r="I23">
        <v>21.506990538512198</v>
      </c>
      <c r="J23">
        <v>12.1590354015269</v>
      </c>
      <c r="K23">
        <v>-1.17593390958067</v>
      </c>
      <c r="L23">
        <v>23.5435759173942</v>
      </c>
      <c r="M23">
        <v>26.425866727317299</v>
      </c>
      <c r="N23">
        <v>20.855111198347998</v>
      </c>
      <c r="O23">
        <v>22.786956226844801</v>
      </c>
      <c r="P23">
        <v>27.7724052002572</v>
      </c>
      <c r="Q23">
        <v>18.391218011460499</v>
      </c>
      <c r="R23">
        <v>2.3931599971420101</v>
      </c>
      <c r="S23">
        <v>1.42111110432889</v>
      </c>
      <c r="T23">
        <v>2.7833022729785601</v>
      </c>
      <c r="U23">
        <v>-0.75661969054941003</v>
      </c>
      <c r="V23">
        <v>-6.2118921455873899</v>
      </c>
      <c r="W23">
        <v>4.6986527644885703</v>
      </c>
      <c r="X23">
        <v>22</v>
      </c>
    </row>
    <row r="24" spans="1:24" x14ac:dyDescent="0.3">
      <c r="A24">
        <v>22132</v>
      </c>
      <c r="B24">
        <v>418</v>
      </c>
      <c r="C24" t="s">
        <v>23</v>
      </c>
      <c r="D24" t="s">
        <v>21</v>
      </c>
      <c r="E24" t="s">
        <v>19</v>
      </c>
      <c r="F24" t="s">
        <v>15</v>
      </c>
      <c r="G24" t="s">
        <v>17</v>
      </c>
      <c r="H24">
        <v>0.13157894736842099</v>
      </c>
      <c r="I24">
        <v>13.085248007693</v>
      </c>
      <c r="J24">
        <v>12.1590354015269</v>
      </c>
      <c r="K24">
        <v>-1.79515867781857</v>
      </c>
      <c r="L24">
        <v>14.258072729687401</v>
      </c>
      <c r="M24">
        <v>16.282317705870099</v>
      </c>
      <c r="N24">
        <v>12.431297018256201</v>
      </c>
      <c r="O24">
        <v>13.6167224036297</v>
      </c>
      <c r="P24">
        <v>17.2551748952223</v>
      </c>
      <c r="Q24">
        <v>10.826186246917</v>
      </c>
      <c r="R24">
        <v>1.6400481245676799</v>
      </c>
      <c r="S24">
        <v>0.98240323663620199</v>
      </c>
      <c r="T24">
        <v>1.9117724682218999</v>
      </c>
      <c r="U24">
        <v>-0.64135032605770104</v>
      </c>
      <c r="V24">
        <v>-4.3884243637726197</v>
      </c>
      <c r="W24">
        <v>3.1057237116572098</v>
      </c>
      <c r="X24">
        <v>23</v>
      </c>
    </row>
    <row r="25" spans="1:24" x14ac:dyDescent="0.3">
      <c r="A25">
        <v>11121</v>
      </c>
      <c r="B25">
        <v>151</v>
      </c>
      <c r="C25" t="s">
        <v>12</v>
      </c>
      <c r="D25" t="s">
        <v>13</v>
      </c>
      <c r="E25" t="s">
        <v>18</v>
      </c>
      <c r="F25" t="s">
        <v>15</v>
      </c>
      <c r="G25" t="s">
        <v>16</v>
      </c>
      <c r="H25">
        <v>2.6490066225165601E-2</v>
      </c>
      <c r="I25">
        <v>4.9758602213754104</v>
      </c>
      <c r="J25">
        <v>12.1590354015269</v>
      </c>
      <c r="K25">
        <v>-2.7814130358161302</v>
      </c>
      <c r="L25">
        <v>5.8467130648266501</v>
      </c>
      <c r="M25">
        <v>6.9278849116409997</v>
      </c>
      <c r="N25">
        <v>4.9614484364900697</v>
      </c>
      <c r="O25">
        <v>5.2448626718628999</v>
      </c>
      <c r="P25">
        <v>7.2622988466452396</v>
      </c>
      <c r="Q25">
        <v>3.6908498038225299</v>
      </c>
      <c r="R25">
        <v>0.91108393949558897</v>
      </c>
      <c r="S25">
        <v>0.501641957946666</v>
      </c>
      <c r="T25">
        <v>1.04005701708097</v>
      </c>
      <c r="U25">
        <v>-0.60185039296375198</v>
      </c>
      <c r="V25">
        <v>-2.6403621464424498</v>
      </c>
      <c r="W25">
        <v>1.4366613605149501</v>
      </c>
      <c r="X25">
        <v>24</v>
      </c>
    </row>
    <row r="26" spans="1:24" x14ac:dyDescent="0.3">
      <c r="A26">
        <v>23221</v>
      </c>
      <c r="B26">
        <v>157</v>
      </c>
      <c r="C26" t="s">
        <v>23</v>
      </c>
      <c r="D26" t="s">
        <v>22</v>
      </c>
      <c r="E26" t="s">
        <v>18</v>
      </c>
      <c r="F26" t="s">
        <v>20</v>
      </c>
      <c r="G26" t="s">
        <v>16</v>
      </c>
      <c r="H26">
        <v>0.22929936305732501</v>
      </c>
      <c r="I26">
        <v>21.3758536794377</v>
      </c>
      <c r="J26">
        <v>12.1590354015269</v>
      </c>
      <c r="K26">
        <v>-1.1610477606553999</v>
      </c>
      <c r="L26">
        <v>23.867140248126599</v>
      </c>
      <c r="M26">
        <v>26.8313070918867</v>
      </c>
      <c r="N26">
        <v>20.758025372540398</v>
      </c>
      <c r="O26">
        <v>23.3837031842281</v>
      </c>
      <c r="P26">
        <v>29.028276174437199</v>
      </c>
      <c r="Q26">
        <v>18.4252391722788</v>
      </c>
      <c r="R26">
        <v>2.7048563781016202</v>
      </c>
      <c r="S26">
        <v>1.5493065610577199</v>
      </c>
      <c r="T26">
        <v>3.1171459456197201</v>
      </c>
      <c r="U26">
        <v>-0.48343706389854202</v>
      </c>
      <c r="V26">
        <v>-6.5930431173131998</v>
      </c>
      <c r="W26">
        <v>5.6261689895161204</v>
      </c>
      <c r="X26">
        <v>25</v>
      </c>
    </row>
    <row r="27" spans="1:24" x14ac:dyDescent="0.3">
      <c r="A27">
        <v>22212</v>
      </c>
      <c r="B27">
        <v>308</v>
      </c>
      <c r="C27" t="s">
        <v>23</v>
      </c>
      <c r="D27" t="s">
        <v>21</v>
      </c>
      <c r="E27" t="s">
        <v>14</v>
      </c>
      <c r="F27" t="s">
        <v>20</v>
      </c>
      <c r="G27" t="s">
        <v>17</v>
      </c>
      <c r="H27">
        <v>0.15909090909090901</v>
      </c>
      <c r="I27">
        <v>15.572230883859</v>
      </c>
      <c r="J27">
        <v>12.1590354015269</v>
      </c>
      <c r="K27">
        <v>-1.6232039083923799</v>
      </c>
      <c r="L27">
        <v>16.530543549974499</v>
      </c>
      <c r="M27">
        <v>18.870261894957</v>
      </c>
      <c r="N27">
        <v>14.331901625566299</v>
      </c>
      <c r="O27">
        <v>16.074415566126401</v>
      </c>
      <c r="P27">
        <v>20.583358723324199</v>
      </c>
      <c r="Q27">
        <v>12.731544421852901</v>
      </c>
      <c r="R27">
        <v>2.0030138524161498</v>
      </c>
      <c r="S27">
        <v>1.15774496668129</v>
      </c>
      <c r="T27">
        <v>2.3135336394457</v>
      </c>
      <c r="U27">
        <v>-0.45612798384810199</v>
      </c>
      <c r="V27">
        <v>-4.9906539171616702</v>
      </c>
      <c r="W27">
        <v>4.0783979494654599</v>
      </c>
      <c r="X27">
        <v>26</v>
      </c>
    </row>
    <row r="28" spans="1:24" x14ac:dyDescent="0.3">
      <c r="A28">
        <v>21111</v>
      </c>
      <c r="B28">
        <v>67</v>
      </c>
      <c r="C28" t="s">
        <v>23</v>
      </c>
      <c r="D28" t="s">
        <v>13</v>
      </c>
      <c r="E28" t="s">
        <v>14</v>
      </c>
      <c r="F28" t="s">
        <v>15</v>
      </c>
      <c r="G28" t="s">
        <v>16</v>
      </c>
      <c r="H28">
        <v>4.47761194029851E-2</v>
      </c>
      <c r="I28">
        <v>7.4230841385882398</v>
      </c>
      <c r="J28">
        <v>12.1590354015269</v>
      </c>
      <c r="K28">
        <v>-2.4283715840515101</v>
      </c>
      <c r="L28">
        <v>8.1270212886709103</v>
      </c>
      <c r="M28">
        <v>9.6289983479941395</v>
      </c>
      <c r="N28">
        <v>6.8491759323565899</v>
      </c>
      <c r="O28">
        <v>7.6858251657161896</v>
      </c>
      <c r="P28">
        <v>10.865233527947099</v>
      </c>
      <c r="Q28">
        <v>5.4745692130650498</v>
      </c>
      <c r="R28">
        <v>1.37516946808215</v>
      </c>
      <c r="S28">
        <v>0.70913837133610902</v>
      </c>
      <c r="T28">
        <v>1.5472453896026199</v>
      </c>
      <c r="U28">
        <v>-0.44119612295472299</v>
      </c>
      <c r="V28">
        <v>-3.4737970865758601</v>
      </c>
      <c r="W28">
        <v>2.5914048406664199</v>
      </c>
      <c r="X28">
        <v>27</v>
      </c>
    </row>
    <row r="29" spans="1:24" x14ac:dyDescent="0.3">
      <c r="A29">
        <v>22131</v>
      </c>
      <c r="B29">
        <v>244</v>
      </c>
      <c r="C29" t="s">
        <v>23</v>
      </c>
      <c r="D29" t="s">
        <v>21</v>
      </c>
      <c r="E29" t="s">
        <v>19</v>
      </c>
      <c r="F29" t="s">
        <v>15</v>
      </c>
      <c r="G29" t="s">
        <v>16</v>
      </c>
      <c r="H29">
        <v>0.102459016393443</v>
      </c>
      <c r="I29">
        <v>10.492163160308101</v>
      </c>
      <c r="J29">
        <v>12.1590354015269</v>
      </c>
      <c r="K29">
        <v>-2.0718343717101599</v>
      </c>
      <c r="L29">
        <v>11.2358640556879</v>
      </c>
      <c r="M29">
        <v>13.072976165963199</v>
      </c>
      <c r="N29">
        <v>9.6232129847333905</v>
      </c>
      <c r="O29">
        <v>10.8163791150679</v>
      </c>
      <c r="P29">
        <v>14.088460785638</v>
      </c>
      <c r="Q29">
        <v>8.1068517749095292</v>
      </c>
      <c r="R29">
        <v>1.52592066600216</v>
      </c>
      <c r="S29">
        <v>0.88004162786475404</v>
      </c>
      <c r="T29">
        <v>1.7615070666072601</v>
      </c>
      <c r="U29">
        <v>-0.41948494062002001</v>
      </c>
      <c r="V29">
        <v>-3.8720387911702598</v>
      </c>
      <c r="W29">
        <v>3.0330689099302202</v>
      </c>
      <c r="X29">
        <v>28</v>
      </c>
    </row>
    <row r="30" spans="1:24" x14ac:dyDescent="0.3">
      <c r="A30">
        <v>22222</v>
      </c>
      <c r="B30">
        <v>336</v>
      </c>
      <c r="C30" t="s">
        <v>23</v>
      </c>
      <c r="D30" t="s">
        <v>21</v>
      </c>
      <c r="E30" t="s">
        <v>18</v>
      </c>
      <c r="F30" t="s">
        <v>20</v>
      </c>
      <c r="G30" t="s">
        <v>17</v>
      </c>
      <c r="H30">
        <v>0.20535714285714299</v>
      </c>
      <c r="I30">
        <v>19.906104783829502</v>
      </c>
      <c r="J30">
        <v>12.1590354015269</v>
      </c>
      <c r="K30">
        <v>-1.3316420655755301</v>
      </c>
      <c r="L30">
        <v>20.900242908876301</v>
      </c>
      <c r="M30">
        <v>23.650949753986801</v>
      </c>
      <c r="N30">
        <v>18.173182661806599</v>
      </c>
      <c r="O30">
        <v>20.510127072497198</v>
      </c>
      <c r="P30">
        <v>24.945857435248701</v>
      </c>
      <c r="Q30">
        <v>16.847363359131499</v>
      </c>
      <c r="R30">
        <v>2.0659423663564298</v>
      </c>
      <c r="S30">
        <v>1.3973895643316701</v>
      </c>
      <c r="T30">
        <v>2.49415626126541</v>
      </c>
      <c r="U30">
        <v>-0.390115836379128</v>
      </c>
      <c r="V30">
        <v>-5.2786621084593301</v>
      </c>
      <c r="W30">
        <v>4.4984304357010796</v>
      </c>
      <c r="X30">
        <v>29</v>
      </c>
    </row>
    <row r="31" spans="1:24" x14ac:dyDescent="0.3">
      <c r="A31">
        <v>13111</v>
      </c>
      <c r="B31">
        <v>62</v>
      </c>
      <c r="C31" t="s">
        <v>12</v>
      </c>
      <c r="D31" t="s">
        <v>22</v>
      </c>
      <c r="E31" t="s">
        <v>14</v>
      </c>
      <c r="F31" t="s">
        <v>15</v>
      </c>
      <c r="G31" t="s">
        <v>16</v>
      </c>
      <c r="H31">
        <v>3.2258064516128997E-2</v>
      </c>
      <c r="I31">
        <v>6.88305834556148</v>
      </c>
      <c r="J31">
        <v>12.1590354015269</v>
      </c>
      <c r="K31">
        <v>-2.57708309709006</v>
      </c>
      <c r="L31">
        <v>7.0610443542023296</v>
      </c>
      <c r="M31">
        <v>8.4601862317051104</v>
      </c>
      <c r="N31">
        <v>5.9263817822864402</v>
      </c>
      <c r="O31">
        <v>6.7303037205599603</v>
      </c>
      <c r="P31">
        <v>9.4065096481583605</v>
      </c>
      <c r="Q31">
        <v>4.8626925274357999</v>
      </c>
      <c r="R31">
        <v>1.15913702059249</v>
      </c>
      <c r="S31">
        <v>0.64637868607619098</v>
      </c>
      <c r="T31">
        <v>1.32717897750138</v>
      </c>
      <c r="U31">
        <v>-0.33074063364237499</v>
      </c>
      <c r="V31">
        <v>-2.9320114295450899</v>
      </c>
      <c r="W31">
        <v>2.2705301622603402</v>
      </c>
      <c r="X31">
        <v>30</v>
      </c>
    </row>
    <row r="32" spans="1:24" x14ac:dyDescent="0.3">
      <c r="A32">
        <v>11221</v>
      </c>
      <c r="B32">
        <v>222</v>
      </c>
      <c r="C32" t="s">
        <v>12</v>
      </c>
      <c r="D32" t="s">
        <v>13</v>
      </c>
      <c r="E32" t="s">
        <v>18</v>
      </c>
      <c r="F32" t="s">
        <v>20</v>
      </c>
      <c r="G32" t="s">
        <v>16</v>
      </c>
      <c r="H32">
        <v>8.1081081081081099E-2</v>
      </c>
      <c r="I32">
        <v>8.7132891766044196</v>
      </c>
      <c r="J32">
        <v>12.1590354015269</v>
      </c>
      <c r="K32">
        <v>-2.3015428367798001</v>
      </c>
      <c r="L32">
        <v>9.1036817398601606</v>
      </c>
      <c r="M32">
        <v>10.51006259667</v>
      </c>
      <c r="N32">
        <v>7.7808982862016496</v>
      </c>
      <c r="O32">
        <v>8.7814571136506796</v>
      </c>
      <c r="P32">
        <v>11.802730062655799</v>
      </c>
      <c r="Q32">
        <v>6.5895520957236204</v>
      </c>
      <c r="R32">
        <v>1.3298923385031101</v>
      </c>
      <c r="S32">
        <v>0.69621538532355498</v>
      </c>
      <c r="T32">
        <v>1.5011094213182801</v>
      </c>
      <c r="U32">
        <v>-0.322224626209486</v>
      </c>
      <c r="V32">
        <v>-3.2643990919933201</v>
      </c>
      <c r="W32">
        <v>2.6199498395743399</v>
      </c>
      <c r="X32">
        <v>31</v>
      </c>
    </row>
    <row r="33" spans="1:24" x14ac:dyDescent="0.3">
      <c r="A33">
        <v>22122</v>
      </c>
      <c r="B33">
        <v>232</v>
      </c>
      <c r="C33" t="s">
        <v>23</v>
      </c>
      <c r="D33" t="s">
        <v>21</v>
      </c>
      <c r="E33" t="s">
        <v>18</v>
      </c>
      <c r="F33" t="s">
        <v>15</v>
      </c>
      <c r="G33" t="s">
        <v>17</v>
      </c>
      <c r="H33">
        <v>0.13362068965517199</v>
      </c>
      <c r="I33">
        <v>13.213661372370099</v>
      </c>
      <c r="J33">
        <v>12.1590354015269</v>
      </c>
      <c r="K33">
        <v>-1.81151226461186</v>
      </c>
      <c r="L33">
        <v>14.070153665641</v>
      </c>
      <c r="M33">
        <v>16.108585140800098</v>
      </c>
      <c r="N33">
        <v>12.1803936680713</v>
      </c>
      <c r="O33">
        <v>13.768378202492199</v>
      </c>
      <c r="P33">
        <v>17.933071550538301</v>
      </c>
      <c r="Q33">
        <v>10.666055556281799</v>
      </c>
      <c r="R33">
        <v>1.85383061077972</v>
      </c>
      <c r="S33">
        <v>1.00208966141041</v>
      </c>
      <c r="T33">
        <v>2.1073375673986199</v>
      </c>
      <c r="U33">
        <v>-0.30177546314879899</v>
      </c>
      <c r="V33">
        <v>-4.4321570952500897</v>
      </c>
      <c r="W33">
        <v>3.82860616895249</v>
      </c>
      <c r="X33">
        <v>32</v>
      </c>
    </row>
    <row r="34" spans="1:24" x14ac:dyDescent="0.3">
      <c r="A34">
        <v>21131</v>
      </c>
      <c r="B34">
        <v>265</v>
      </c>
      <c r="C34" t="s">
        <v>23</v>
      </c>
      <c r="D34" t="s">
        <v>13</v>
      </c>
      <c r="E34" t="s">
        <v>19</v>
      </c>
      <c r="F34" t="s">
        <v>15</v>
      </c>
      <c r="G34" t="s">
        <v>16</v>
      </c>
      <c r="H34">
        <v>9.8113207547169803E-2</v>
      </c>
      <c r="I34">
        <v>10.0965115045408</v>
      </c>
      <c r="J34">
        <v>12.1590354015269</v>
      </c>
      <c r="K34">
        <v>-2.1204561544413698</v>
      </c>
      <c r="L34">
        <v>10.720465580264101</v>
      </c>
      <c r="M34">
        <v>12.374334600587501</v>
      </c>
      <c r="N34">
        <v>9.3173048310203992</v>
      </c>
      <c r="O34">
        <v>10.454667381712399</v>
      </c>
      <c r="P34">
        <v>13.5813023961762</v>
      </c>
      <c r="Q34">
        <v>7.8536698382389698</v>
      </c>
      <c r="R34">
        <v>1.4611307545758301</v>
      </c>
      <c r="S34">
        <v>0.77985453305283003</v>
      </c>
      <c r="T34">
        <v>1.6562234676185399</v>
      </c>
      <c r="U34">
        <v>-0.265798198551709</v>
      </c>
      <c r="V34">
        <v>-3.5119961950840599</v>
      </c>
      <c r="W34">
        <v>2.98039979798064</v>
      </c>
      <c r="X34">
        <v>33</v>
      </c>
    </row>
    <row r="35" spans="1:24" x14ac:dyDescent="0.3">
      <c r="A35">
        <v>21112</v>
      </c>
      <c r="B35">
        <v>220</v>
      </c>
      <c r="C35" t="s">
        <v>23</v>
      </c>
      <c r="D35" t="s">
        <v>13</v>
      </c>
      <c r="E35" t="s">
        <v>14</v>
      </c>
      <c r="F35" t="s">
        <v>15</v>
      </c>
      <c r="G35" t="s">
        <v>17</v>
      </c>
      <c r="H35">
        <v>0.1</v>
      </c>
      <c r="I35">
        <v>10.305959676940599</v>
      </c>
      <c r="J35">
        <v>12.1590354015269</v>
      </c>
      <c r="K35">
        <v>-2.1516958901599201</v>
      </c>
      <c r="L35">
        <v>10.4350211823484</v>
      </c>
      <c r="M35">
        <v>12.3006179503454</v>
      </c>
      <c r="N35">
        <v>8.8999901649061304</v>
      </c>
      <c r="O35">
        <v>10.319961451454899</v>
      </c>
      <c r="P35">
        <v>13.541029612820299</v>
      </c>
      <c r="Q35">
        <v>7.7253451270140099</v>
      </c>
      <c r="R35">
        <v>1.48359298107302</v>
      </c>
      <c r="S35">
        <v>0.86750708812226396</v>
      </c>
      <c r="T35">
        <v>1.7186089379005101</v>
      </c>
      <c r="U35">
        <v>-0.115059730893513</v>
      </c>
      <c r="V35">
        <v>-3.4835332491785</v>
      </c>
      <c r="W35">
        <v>3.2534137873914801</v>
      </c>
      <c r="X35">
        <v>34</v>
      </c>
    </row>
    <row r="36" spans="1:24" x14ac:dyDescent="0.3">
      <c r="A36">
        <v>11212</v>
      </c>
      <c r="B36">
        <v>350</v>
      </c>
      <c r="C36" t="s">
        <v>12</v>
      </c>
      <c r="D36" t="s">
        <v>13</v>
      </c>
      <c r="E36" t="s">
        <v>14</v>
      </c>
      <c r="F36" t="s">
        <v>20</v>
      </c>
      <c r="G36" t="s">
        <v>17</v>
      </c>
      <c r="H36">
        <v>8.5714285714285701E-2</v>
      </c>
      <c r="I36">
        <v>8.9277472911333007</v>
      </c>
      <c r="J36">
        <v>12.1590354015269</v>
      </c>
      <c r="K36">
        <v>-2.3164289857050799</v>
      </c>
      <c r="L36">
        <v>8.9731783648543093</v>
      </c>
      <c r="M36">
        <v>10.521161508480899</v>
      </c>
      <c r="N36">
        <v>7.7193265310677903</v>
      </c>
      <c r="O36">
        <v>8.8606337262394703</v>
      </c>
      <c r="P36">
        <v>11.7677414738321</v>
      </c>
      <c r="Q36">
        <v>6.5932613495769896</v>
      </c>
      <c r="R36">
        <v>1.3200204398609801</v>
      </c>
      <c r="S36">
        <v>0.71475382076865301</v>
      </c>
      <c r="T36">
        <v>1.5011085856640001</v>
      </c>
      <c r="U36">
        <v>-0.112544638614843</v>
      </c>
      <c r="V36">
        <v>-3.05471746651628</v>
      </c>
      <c r="W36">
        <v>2.8296281892866002</v>
      </c>
      <c r="X36">
        <v>35</v>
      </c>
    </row>
    <row r="37" spans="1:24" x14ac:dyDescent="0.3">
      <c r="A37">
        <v>12112</v>
      </c>
      <c r="B37">
        <v>191</v>
      </c>
      <c r="C37" t="s">
        <v>12</v>
      </c>
      <c r="D37" t="s">
        <v>21</v>
      </c>
      <c r="E37" t="s">
        <v>14</v>
      </c>
      <c r="F37" t="s">
        <v>15</v>
      </c>
      <c r="G37" t="s">
        <v>17</v>
      </c>
      <c r="H37">
        <v>5.7591623036649199E-2</v>
      </c>
      <c r="I37">
        <v>6.9319458847874804</v>
      </c>
      <c r="J37">
        <v>12.1590354015269</v>
      </c>
      <c r="K37">
        <v>-2.74767740201019</v>
      </c>
      <c r="L37">
        <v>6.04237643585006</v>
      </c>
      <c r="M37">
        <v>7.2217565731241198</v>
      </c>
      <c r="N37">
        <v>5.0717177351993001</v>
      </c>
      <c r="O37">
        <v>5.9543551884185</v>
      </c>
      <c r="P37">
        <v>8.0923805661354198</v>
      </c>
      <c r="Q37">
        <v>4.3816060108922699</v>
      </c>
      <c r="R37">
        <v>0.94662616205182204</v>
      </c>
      <c r="S37">
        <v>0.54847929538898599</v>
      </c>
      <c r="T37">
        <v>1.09404324784323</v>
      </c>
      <c r="U37">
        <v>-8.8021247431564503E-2</v>
      </c>
      <c r="V37">
        <v>-2.2323460132042898</v>
      </c>
      <c r="W37">
        <v>2.05630351834116</v>
      </c>
      <c r="X37">
        <v>36</v>
      </c>
    </row>
    <row r="38" spans="1:24" x14ac:dyDescent="0.3">
      <c r="A38">
        <v>12122</v>
      </c>
      <c r="B38">
        <v>230</v>
      </c>
      <c r="C38" t="s">
        <v>12</v>
      </c>
      <c r="D38" t="s">
        <v>21</v>
      </c>
      <c r="E38" t="s">
        <v>18</v>
      </c>
      <c r="F38" t="s">
        <v>15</v>
      </c>
      <c r="G38" t="s">
        <v>17</v>
      </c>
      <c r="H38">
        <v>7.8260869565217397E-2</v>
      </c>
      <c r="I38">
        <v>8.4607751665498796</v>
      </c>
      <c r="J38">
        <v>12.1590354015269</v>
      </c>
      <c r="K38">
        <v>-2.4561155591933299</v>
      </c>
      <c r="L38">
        <v>7.9195077284303501</v>
      </c>
      <c r="M38">
        <v>9.3227528198696508</v>
      </c>
      <c r="N38">
        <v>6.6902601110509696</v>
      </c>
      <c r="O38">
        <v>7.8412026019208803</v>
      </c>
      <c r="P38">
        <v>10.379450366012099</v>
      </c>
      <c r="Q38">
        <v>5.8691551625586804</v>
      </c>
      <c r="R38">
        <v>1.15058551108507</v>
      </c>
      <c r="S38">
        <v>0.67155426245374406</v>
      </c>
      <c r="T38">
        <v>1.3322282633763201</v>
      </c>
      <c r="U38">
        <v>-7.8305126509468095E-2</v>
      </c>
      <c r="V38">
        <v>-2.68947252272705</v>
      </c>
      <c r="W38">
        <v>2.53286226970812</v>
      </c>
      <c r="X38">
        <v>37</v>
      </c>
    </row>
    <row r="39" spans="1:24" x14ac:dyDescent="0.3">
      <c r="A39">
        <v>11111</v>
      </c>
      <c r="B39">
        <v>75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>
        <v>0.04</v>
      </c>
      <c r="I39">
        <v>6.9633090595538798</v>
      </c>
      <c r="J39">
        <v>12.1590354015269</v>
      </c>
      <c r="K39">
        <v>-3.0729748786329898</v>
      </c>
      <c r="L39">
        <v>4.42891564728059</v>
      </c>
      <c r="M39">
        <v>5.4011666792875097</v>
      </c>
      <c r="N39">
        <v>3.6792996726757101</v>
      </c>
      <c r="O39">
        <v>4.3948023549232103</v>
      </c>
      <c r="P39">
        <v>6.2879308949180102</v>
      </c>
      <c r="Q39">
        <v>3.0790492987424001</v>
      </c>
      <c r="R39">
        <v>0.81859224392234897</v>
      </c>
      <c r="S39">
        <v>0.43925178740096998</v>
      </c>
      <c r="T39">
        <v>0.92899698306548495</v>
      </c>
      <c r="U39">
        <v>-3.4113292357374397E-2</v>
      </c>
      <c r="V39">
        <v>-1.85494737916573</v>
      </c>
      <c r="W39">
        <v>1.78672079445098</v>
      </c>
      <c r="X39">
        <v>38</v>
      </c>
    </row>
    <row r="40" spans="1:24" x14ac:dyDescent="0.3">
      <c r="A40">
        <v>12231</v>
      </c>
      <c r="B40">
        <v>286</v>
      </c>
      <c r="C40" t="s">
        <v>12</v>
      </c>
      <c r="D40" t="s">
        <v>21</v>
      </c>
      <c r="E40" t="s">
        <v>19</v>
      </c>
      <c r="F40" t="s">
        <v>20</v>
      </c>
      <c r="G40" t="s">
        <v>16</v>
      </c>
      <c r="H40">
        <v>9.7902097902097904E-2</v>
      </c>
      <c r="I40">
        <v>10.0596065727668</v>
      </c>
      <c r="J40">
        <v>12.1590354015269</v>
      </c>
      <c r="K40">
        <v>-2.23656746725531</v>
      </c>
      <c r="L40">
        <v>9.6899343319314593</v>
      </c>
      <c r="M40">
        <v>11.2954482354011</v>
      </c>
      <c r="N40">
        <v>8.4023043952491694</v>
      </c>
      <c r="O40">
        <v>9.6629344789176006</v>
      </c>
      <c r="P40">
        <v>12.639221200579801</v>
      </c>
      <c r="Q40">
        <v>7.3079849559047201</v>
      </c>
      <c r="R40">
        <v>1.3600092460905899</v>
      </c>
      <c r="S40">
        <v>0.73804689799793699</v>
      </c>
      <c r="T40">
        <v>1.5473649773393101</v>
      </c>
      <c r="U40">
        <v>-2.6999853013867502E-2</v>
      </c>
      <c r="V40">
        <v>-3.0598352085989098</v>
      </c>
      <c r="W40">
        <v>3.00583550257118</v>
      </c>
      <c r="X40">
        <v>39</v>
      </c>
    </row>
    <row r="41" spans="1:24" x14ac:dyDescent="0.3">
      <c r="A41">
        <v>23211</v>
      </c>
      <c r="B41">
        <v>130</v>
      </c>
      <c r="C41" t="s">
        <v>23</v>
      </c>
      <c r="D41" t="s">
        <v>22</v>
      </c>
      <c r="E41" t="s">
        <v>14</v>
      </c>
      <c r="F41" t="s">
        <v>20</v>
      </c>
      <c r="G41" t="s">
        <v>16</v>
      </c>
      <c r="H41">
        <v>0.19230769230769201</v>
      </c>
      <c r="I41">
        <v>17.956855570498799</v>
      </c>
      <c r="J41">
        <v>12.1590354015269</v>
      </c>
      <c r="K41">
        <v>-1.45260960347225</v>
      </c>
      <c r="L41">
        <v>18.9293050656436</v>
      </c>
      <c r="M41">
        <v>21.851382377962601</v>
      </c>
      <c r="N41">
        <v>16.427497411778202</v>
      </c>
      <c r="O41">
        <v>18.909700314044201</v>
      </c>
      <c r="P41">
        <v>23.838293336937301</v>
      </c>
      <c r="Q41">
        <v>14.7435874838985</v>
      </c>
      <c r="R41">
        <v>2.3200780237343999</v>
      </c>
      <c r="S41">
        <v>1.3836441240266399</v>
      </c>
      <c r="T41">
        <v>2.7013391305366898</v>
      </c>
      <c r="U41">
        <v>-1.9604751599384702E-2</v>
      </c>
      <c r="V41">
        <v>-5.3142294474513001</v>
      </c>
      <c r="W41">
        <v>5.2750199442525396</v>
      </c>
      <c r="X41">
        <v>40</v>
      </c>
    </row>
    <row r="42" spans="1:24" x14ac:dyDescent="0.3">
      <c r="A42">
        <v>12111</v>
      </c>
      <c r="B42">
        <v>81</v>
      </c>
      <c r="C42" t="s">
        <v>12</v>
      </c>
      <c r="D42" t="s">
        <v>21</v>
      </c>
      <c r="E42" t="s">
        <v>14</v>
      </c>
      <c r="F42" t="s">
        <v>15</v>
      </c>
      <c r="G42" t="s">
        <v>16</v>
      </c>
      <c r="H42">
        <v>4.9382716049382699E-2</v>
      </c>
      <c r="I42">
        <v>7.3937393591909801</v>
      </c>
      <c r="J42">
        <v>12.1590354015269</v>
      </c>
      <c r="K42">
        <v>-3.0243530959017701</v>
      </c>
      <c r="L42">
        <v>4.6591099851579001</v>
      </c>
      <c r="M42">
        <v>5.5928947402051401</v>
      </c>
      <c r="N42">
        <v>3.8215099904382601</v>
      </c>
      <c r="O42">
        <v>4.6605319118195103</v>
      </c>
      <c r="P42">
        <v>6.5388855628519096</v>
      </c>
      <c r="Q42">
        <v>3.2469437321692798</v>
      </c>
      <c r="R42">
        <v>0.83978107925577306</v>
      </c>
      <c r="S42">
        <v>0.45188386473644798</v>
      </c>
      <c r="T42">
        <v>0.95364106889601796</v>
      </c>
      <c r="U42">
        <v>1.4219266616084501E-3</v>
      </c>
      <c r="V42">
        <v>-1.8677145683745899</v>
      </c>
      <c r="W42">
        <v>1.8705584216978</v>
      </c>
      <c r="X42">
        <v>41</v>
      </c>
    </row>
    <row r="43" spans="1:24" x14ac:dyDescent="0.3">
      <c r="A43">
        <v>12132</v>
      </c>
      <c r="B43">
        <v>494</v>
      </c>
      <c r="C43" t="s">
        <v>12</v>
      </c>
      <c r="D43" t="s">
        <v>21</v>
      </c>
      <c r="E43" t="s">
        <v>19</v>
      </c>
      <c r="F43" t="s">
        <v>15</v>
      </c>
      <c r="G43" t="s">
        <v>17</v>
      </c>
      <c r="H43">
        <v>8.0971659919028299E-2</v>
      </c>
      <c r="I43">
        <v>8.3985653610848097</v>
      </c>
      <c r="J43">
        <v>12.1590354015269</v>
      </c>
      <c r="K43">
        <v>-2.4397619724000501</v>
      </c>
      <c r="L43">
        <v>8.0318344399353894</v>
      </c>
      <c r="M43">
        <v>9.3179274686845499</v>
      </c>
      <c r="N43">
        <v>6.9900578245045297</v>
      </c>
      <c r="O43">
        <v>8.0464684132235007</v>
      </c>
      <c r="P43">
        <v>10.255263744314201</v>
      </c>
      <c r="Q43">
        <v>6.1922846105188203</v>
      </c>
      <c r="R43">
        <v>1.0364742688253601</v>
      </c>
      <c r="S43">
        <v>0.59384429698469998</v>
      </c>
      <c r="T43">
        <v>1.1945417359800801</v>
      </c>
      <c r="U43">
        <v>1.4633973288113101E-2</v>
      </c>
      <c r="V43">
        <v>-2.32666782923285</v>
      </c>
      <c r="W43">
        <v>2.35593577580907</v>
      </c>
      <c r="X43">
        <v>42</v>
      </c>
    </row>
    <row r="44" spans="1:24" x14ac:dyDescent="0.3">
      <c r="A44">
        <v>22232</v>
      </c>
      <c r="B44">
        <v>472</v>
      </c>
      <c r="C44" t="s">
        <v>23</v>
      </c>
      <c r="D44" t="s">
        <v>21</v>
      </c>
      <c r="E44" t="s">
        <v>19</v>
      </c>
      <c r="F44" t="s">
        <v>20</v>
      </c>
      <c r="G44" t="s">
        <v>17</v>
      </c>
      <c r="H44">
        <v>0.21186440677966101</v>
      </c>
      <c r="I44">
        <v>20.700638499279599</v>
      </c>
      <c r="J44">
        <v>12.1590354015269</v>
      </c>
      <c r="K44">
        <v>-1.3152884787822501</v>
      </c>
      <c r="L44">
        <v>21.210068859487698</v>
      </c>
      <c r="M44">
        <v>23.9513921637495</v>
      </c>
      <c r="N44">
        <v>18.792446783260299</v>
      </c>
      <c r="O44">
        <v>21.245155193705099</v>
      </c>
      <c r="P44">
        <v>25.786444877101701</v>
      </c>
      <c r="Q44">
        <v>17.545827040103699</v>
      </c>
      <c r="R44">
        <v>2.1021984278056101</v>
      </c>
      <c r="S44">
        <v>1.3160574950227599</v>
      </c>
      <c r="T44">
        <v>2.48017046996249</v>
      </c>
      <c r="U44">
        <v>3.5086334217439202E-2</v>
      </c>
      <c r="V44">
        <v>-4.8260477869090401</v>
      </c>
      <c r="W44">
        <v>4.8962204553439097</v>
      </c>
      <c r="X44">
        <v>43</v>
      </c>
    </row>
    <row r="45" spans="1:24" x14ac:dyDescent="0.3">
      <c r="A45">
        <v>12131</v>
      </c>
      <c r="B45">
        <v>251</v>
      </c>
      <c r="C45" t="s">
        <v>12</v>
      </c>
      <c r="D45" t="s">
        <v>21</v>
      </c>
      <c r="E45" t="s">
        <v>19</v>
      </c>
      <c r="F45" t="s">
        <v>15</v>
      </c>
      <c r="G45" t="s">
        <v>16</v>
      </c>
      <c r="H45">
        <v>6.3745019920318696E-2</v>
      </c>
      <c r="I45">
        <v>7.2067054126701704</v>
      </c>
      <c r="J45">
        <v>12.1590354015269</v>
      </c>
      <c r="K45">
        <v>-2.7164376662916401</v>
      </c>
      <c r="L45">
        <v>6.2285222102030602</v>
      </c>
      <c r="M45">
        <v>7.2527579039467902</v>
      </c>
      <c r="N45">
        <v>5.2755932874915104</v>
      </c>
      <c r="O45">
        <v>6.2708159128190104</v>
      </c>
      <c r="P45">
        <v>8.3049287466320401</v>
      </c>
      <c r="Q45">
        <v>4.5498262836387102</v>
      </c>
      <c r="R45">
        <v>0.95793430178401295</v>
      </c>
      <c r="S45">
        <v>0.50437872868757105</v>
      </c>
      <c r="T45">
        <v>1.08260612804792</v>
      </c>
      <c r="U45">
        <v>4.2293702615953797E-2</v>
      </c>
      <c r="V45">
        <v>-2.0796143083579799</v>
      </c>
      <c r="W45">
        <v>2.1642017135898799</v>
      </c>
      <c r="X45">
        <v>44</v>
      </c>
    </row>
    <row r="46" spans="1:24" x14ac:dyDescent="0.3">
      <c r="A46">
        <v>21221</v>
      </c>
      <c r="B46">
        <v>221</v>
      </c>
      <c r="C46" t="s">
        <v>23</v>
      </c>
      <c r="D46" t="s">
        <v>13</v>
      </c>
      <c r="E46" t="s">
        <v>18</v>
      </c>
      <c r="F46" t="s">
        <v>20</v>
      </c>
      <c r="G46" t="s">
        <v>16</v>
      </c>
      <c r="H46">
        <v>0.16289592760180999</v>
      </c>
      <c r="I46">
        <v>15.7928365522594</v>
      </c>
      <c r="J46">
        <v>12.1590354015269</v>
      </c>
      <c r="K46">
        <v>-1.65693954219833</v>
      </c>
      <c r="L46">
        <v>16.05049791954</v>
      </c>
      <c r="M46">
        <v>18.231398842393901</v>
      </c>
      <c r="N46">
        <v>13.946415820358901</v>
      </c>
      <c r="O46">
        <v>16.130889483403401</v>
      </c>
      <c r="P46">
        <v>21.0055398532871</v>
      </c>
      <c r="Q46">
        <v>12.5314592144064</v>
      </c>
      <c r="R46">
        <v>2.1617552650206</v>
      </c>
      <c r="S46">
        <v>1.0931079137844499</v>
      </c>
      <c r="T46">
        <v>2.4224101091727799</v>
      </c>
      <c r="U46">
        <v>8.0391563863401003E-2</v>
      </c>
      <c r="V46">
        <v>-4.6675322501152401</v>
      </c>
      <c r="W46">
        <v>4.8283153778420402</v>
      </c>
      <c r="X46">
        <v>45</v>
      </c>
    </row>
    <row r="47" spans="1:24" x14ac:dyDescent="0.3">
      <c r="A47">
        <v>12121</v>
      </c>
      <c r="B47">
        <v>137</v>
      </c>
      <c r="C47" t="s">
        <v>12</v>
      </c>
      <c r="D47" t="s">
        <v>21</v>
      </c>
      <c r="E47" t="s">
        <v>18</v>
      </c>
      <c r="F47" t="s">
        <v>15</v>
      </c>
      <c r="G47" t="s">
        <v>16</v>
      </c>
      <c r="H47">
        <v>8.0291970802919693E-2</v>
      </c>
      <c r="I47">
        <v>8.9366219588293792</v>
      </c>
      <c r="J47">
        <v>12.1590354015269</v>
      </c>
      <c r="K47">
        <v>-2.7327912530849199</v>
      </c>
      <c r="L47">
        <v>6.1154126364541197</v>
      </c>
      <c r="M47">
        <v>7.2497682335461899</v>
      </c>
      <c r="N47">
        <v>5.1111308871738999</v>
      </c>
      <c r="O47">
        <v>6.3338383836364898</v>
      </c>
      <c r="P47">
        <v>8.8108069553503192</v>
      </c>
      <c r="Q47">
        <v>4.6188173522968103</v>
      </c>
      <c r="R47">
        <v>1.0693851028197701</v>
      </c>
      <c r="S47">
        <v>0.54557075162558599</v>
      </c>
      <c r="T47">
        <v>1.20051319991167</v>
      </c>
      <c r="U47">
        <v>0.21842574718237401</v>
      </c>
      <c r="V47">
        <v>-2.13458012464451</v>
      </c>
      <c r="W47">
        <v>2.5714316190092501</v>
      </c>
      <c r="X47">
        <v>46</v>
      </c>
    </row>
    <row r="48" spans="1:24" x14ac:dyDescent="0.3">
      <c r="A48">
        <v>11232</v>
      </c>
      <c r="B48">
        <v>560</v>
      </c>
      <c r="C48" t="s">
        <v>12</v>
      </c>
      <c r="D48" t="s">
        <v>13</v>
      </c>
      <c r="E48" t="s">
        <v>19</v>
      </c>
      <c r="F48" t="s">
        <v>20</v>
      </c>
      <c r="G48" t="s">
        <v>17</v>
      </c>
      <c r="H48">
        <v>0.123214285714286</v>
      </c>
      <c r="I48">
        <v>12.312221190114901</v>
      </c>
      <c r="J48">
        <v>12.1590354015269</v>
      </c>
      <c r="K48">
        <v>-2.0085135560949401</v>
      </c>
      <c r="L48">
        <v>11.822122150149299</v>
      </c>
      <c r="M48">
        <v>13.680322713476899</v>
      </c>
      <c r="N48">
        <v>10.3462412964324</v>
      </c>
      <c r="O48">
        <v>12.1356363652057</v>
      </c>
      <c r="P48">
        <v>15.1862103152404</v>
      </c>
      <c r="Q48">
        <v>9.6449508384105798</v>
      </c>
      <c r="R48">
        <v>1.4135866012320899</v>
      </c>
      <c r="S48">
        <v>0.85053097373583497</v>
      </c>
      <c r="T48">
        <v>1.64973634756191</v>
      </c>
      <c r="U48">
        <v>0.31351421505638499</v>
      </c>
      <c r="V48">
        <v>-2.91996902616496</v>
      </c>
      <c r="W48">
        <v>3.54699745627773</v>
      </c>
      <c r="X48">
        <v>47</v>
      </c>
    </row>
    <row r="49" spans="1:24" x14ac:dyDescent="0.3">
      <c r="A49">
        <v>12211</v>
      </c>
      <c r="B49">
        <v>147</v>
      </c>
      <c r="C49" t="s">
        <v>12</v>
      </c>
      <c r="D49" t="s">
        <v>21</v>
      </c>
      <c r="E49" t="s">
        <v>14</v>
      </c>
      <c r="F49" t="s">
        <v>20</v>
      </c>
      <c r="G49" t="s">
        <v>16</v>
      </c>
      <c r="H49">
        <v>8.8435374149659907E-2</v>
      </c>
      <c r="I49">
        <v>9.5183981213235</v>
      </c>
      <c r="J49">
        <v>12.1590354015269</v>
      </c>
      <c r="K49">
        <v>-2.5444828968654498</v>
      </c>
      <c r="L49">
        <v>7.2987851408640196</v>
      </c>
      <c r="M49">
        <v>8.6593874187114608</v>
      </c>
      <c r="N49">
        <v>6.14783094145489</v>
      </c>
      <c r="O49">
        <v>7.61905073763596</v>
      </c>
      <c r="P49">
        <v>10.2926568038482</v>
      </c>
      <c r="Q49">
        <v>5.3919783387826099</v>
      </c>
      <c r="R49">
        <v>1.2501730778228499</v>
      </c>
      <c r="S49">
        <v>0.64070318297361295</v>
      </c>
      <c r="T49">
        <v>1.40478941239802</v>
      </c>
      <c r="U49">
        <v>0.32026559677194499</v>
      </c>
      <c r="V49">
        <v>-2.4331216515281802</v>
      </c>
      <c r="W49">
        <v>3.0736528450720701</v>
      </c>
      <c r="X49">
        <v>48</v>
      </c>
    </row>
    <row r="50" spans="1:24" x14ac:dyDescent="0.3">
      <c r="A50">
        <v>13121</v>
      </c>
      <c r="B50">
        <v>107</v>
      </c>
      <c r="C50" t="s">
        <v>12</v>
      </c>
      <c r="D50" t="s">
        <v>22</v>
      </c>
      <c r="E50" t="s">
        <v>18</v>
      </c>
      <c r="F50" t="s">
        <v>15</v>
      </c>
      <c r="G50" t="s">
        <v>16</v>
      </c>
      <c r="H50">
        <v>0.11214953271028</v>
      </c>
      <c r="I50">
        <v>11.4463029961688</v>
      </c>
      <c r="J50">
        <v>12.1590354015269</v>
      </c>
      <c r="K50">
        <v>-2.2855212542732</v>
      </c>
      <c r="L50">
        <v>9.2107169279594601</v>
      </c>
      <c r="M50">
        <v>10.8277348860414</v>
      </c>
      <c r="N50">
        <v>7.82763470277055</v>
      </c>
      <c r="O50">
        <v>9.5604568791387408</v>
      </c>
      <c r="P50">
        <v>13.0464134719426</v>
      </c>
      <c r="Q50">
        <v>7.0193394613628897</v>
      </c>
      <c r="R50">
        <v>1.53751888024992</v>
      </c>
      <c r="S50">
        <v>0.76533167940583002</v>
      </c>
      <c r="T50">
        <v>1.71746816175064</v>
      </c>
      <c r="U50">
        <v>0.34973995117928602</v>
      </c>
      <c r="V50">
        <v>-3.0164976458519699</v>
      </c>
      <c r="W50">
        <v>3.7159775482105402</v>
      </c>
      <c r="X50">
        <v>49</v>
      </c>
    </row>
    <row r="51" spans="1:24" x14ac:dyDescent="0.3">
      <c r="A51">
        <v>13112</v>
      </c>
      <c r="B51">
        <v>201</v>
      </c>
      <c r="C51" t="s">
        <v>12</v>
      </c>
      <c r="D51" t="s">
        <v>22</v>
      </c>
      <c r="E51" t="s">
        <v>14</v>
      </c>
      <c r="F51" t="s">
        <v>15</v>
      </c>
      <c r="G51" t="s">
        <v>17</v>
      </c>
      <c r="H51">
        <v>0.104477611940299</v>
      </c>
      <c r="I51">
        <v>10.7061038753973</v>
      </c>
      <c r="J51">
        <v>12.1590354015269</v>
      </c>
      <c r="K51">
        <v>-2.30040740319847</v>
      </c>
      <c r="L51">
        <v>9.1003567534490806</v>
      </c>
      <c r="M51">
        <v>10.728848761283199</v>
      </c>
      <c r="N51">
        <v>7.7525764987789296</v>
      </c>
      <c r="O51">
        <v>9.4796169746231698</v>
      </c>
      <c r="P51">
        <v>12.7098400836928</v>
      </c>
      <c r="Q51">
        <v>7.1334534829244598</v>
      </c>
      <c r="R51">
        <v>1.42254760223682</v>
      </c>
      <c r="S51">
        <v>0.759253128189875</v>
      </c>
      <c r="T51">
        <v>1.61248472653103</v>
      </c>
      <c r="U51">
        <v>0.37926022117408598</v>
      </c>
      <c r="V51">
        <v>-2.7812098428267298</v>
      </c>
      <c r="W51">
        <v>3.5397302851749002</v>
      </c>
      <c r="X51">
        <v>50</v>
      </c>
    </row>
    <row r="52" spans="1:24" x14ac:dyDescent="0.3">
      <c r="A52">
        <v>12212</v>
      </c>
      <c r="B52">
        <v>307</v>
      </c>
      <c r="C52" t="s">
        <v>12</v>
      </c>
      <c r="D52" t="s">
        <v>21</v>
      </c>
      <c r="E52" t="s">
        <v>14</v>
      </c>
      <c r="F52" t="s">
        <v>20</v>
      </c>
      <c r="G52" t="s">
        <v>17</v>
      </c>
      <c r="H52">
        <v>0.10423452768729601</v>
      </c>
      <c r="I52">
        <v>10.605088301053501</v>
      </c>
      <c r="J52">
        <v>12.1590354015269</v>
      </c>
      <c r="K52">
        <v>-2.2678072029738598</v>
      </c>
      <c r="L52">
        <v>9.3887831613412693</v>
      </c>
      <c r="M52">
        <v>10.924785137376499</v>
      </c>
      <c r="N52">
        <v>8.0193333013304695</v>
      </c>
      <c r="O52">
        <v>9.8608726160201403</v>
      </c>
      <c r="P52">
        <v>12.7451821703246</v>
      </c>
      <c r="Q52">
        <v>7.4586030912682499</v>
      </c>
      <c r="R52">
        <v>1.3486171120041801</v>
      </c>
      <c r="S52">
        <v>0.74118669286887295</v>
      </c>
      <c r="T52">
        <v>1.5388716088343399</v>
      </c>
      <c r="U52">
        <v>0.47208945467886398</v>
      </c>
      <c r="V52">
        <v>-2.5440988986364501</v>
      </c>
      <c r="W52">
        <v>3.4882778079941801</v>
      </c>
      <c r="X52">
        <v>51</v>
      </c>
    </row>
    <row r="53" spans="1:24" x14ac:dyDescent="0.3">
      <c r="A53">
        <v>11132</v>
      </c>
      <c r="B53">
        <v>541</v>
      </c>
      <c r="C53" t="s">
        <v>12</v>
      </c>
      <c r="D53" t="s">
        <v>13</v>
      </c>
      <c r="E53" t="s">
        <v>19</v>
      </c>
      <c r="F53" t="s">
        <v>15</v>
      </c>
      <c r="G53" t="s">
        <v>17</v>
      </c>
      <c r="H53">
        <v>8.6876155268022198E-2</v>
      </c>
      <c r="I53">
        <v>8.9188660646908993</v>
      </c>
      <c r="J53">
        <v>12.1590354015269</v>
      </c>
      <c r="K53">
        <v>-2.4883837551312702</v>
      </c>
      <c r="L53">
        <v>7.6872540968644296</v>
      </c>
      <c r="M53">
        <v>9.0250118634331002</v>
      </c>
      <c r="N53">
        <v>6.6244495852426404</v>
      </c>
      <c r="O53">
        <v>8.1931652813888398</v>
      </c>
      <c r="P53">
        <v>10.598906233207501</v>
      </c>
      <c r="Q53">
        <v>6.4041968630764101</v>
      </c>
      <c r="R53">
        <v>1.0700789209518</v>
      </c>
      <c r="S53">
        <v>0.61238833627307698</v>
      </c>
      <c r="T53">
        <v>1.2329186394359799</v>
      </c>
      <c r="U53">
        <v>0.50591118452440798</v>
      </c>
      <c r="V53">
        <v>-1.9106093487701099</v>
      </c>
      <c r="W53">
        <v>2.9224317178189301</v>
      </c>
      <c r="X53">
        <v>52</v>
      </c>
    </row>
    <row r="54" spans="1:24" x14ac:dyDescent="0.3">
      <c r="A54">
        <v>11211</v>
      </c>
      <c r="B54">
        <v>168</v>
      </c>
      <c r="C54" t="s">
        <v>12</v>
      </c>
      <c r="D54" t="s">
        <v>13</v>
      </c>
      <c r="E54" t="s">
        <v>14</v>
      </c>
      <c r="F54" t="s">
        <v>20</v>
      </c>
      <c r="G54" t="s">
        <v>16</v>
      </c>
      <c r="H54">
        <v>9.5238095238095205E-2</v>
      </c>
      <c r="I54">
        <v>9.9972858785290502</v>
      </c>
      <c r="J54">
        <v>12.1590354015269</v>
      </c>
      <c r="K54">
        <v>-2.5931046795966601</v>
      </c>
      <c r="L54">
        <v>6.9802287727045398</v>
      </c>
      <c r="M54">
        <v>8.2683880196879596</v>
      </c>
      <c r="N54">
        <v>5.9337208829947503</v>
      </c>
      <c r="O54">
        <v>7.50547685894953</v>
      </c>
      <c r="P54">
        <v>10.173241400972501</v>
      </c>
      <c r="Q54">
        <v>5.5115131909580803</v>
      </c>
      <c r="R54">
        <v>1.1892163801057301</v>
      </c>
      <c r="S54">
        <v>0.595578351197245</v>
      </c>
      <c r="T54">
        <v>1.3300184852574799</v>
      </c>
      <c r="U54">
        <v>0.52524808624499597</v>
      </c>
      <c r="V54">
        <v>-2.08158814485967</v>
      </c>
      <c r="W54">
        <v>3.1320843173496602</v>
      </c>
      <c r="X54">
        <v>53</v>
      </c>
    </row>
    <row r="55" spans="1:24" x14ac:dyDescent="0.3">
      <c r="A55">
        <v>11131</v>
      </c>
      <c r="B55">
        <v>268</v>
      </c>
      <c r="C55" t="s">
        <v>12</v>
      </c>
      <c r="D55" t="s">
        <v>13</v>
      </c>
      <c r="E55" t="s">
        <v>19</v>
      </c>
      <c r="F55" t="s">
        <v>15</v>
      </c>
      <c r="G55" t="s">
        <v>16</v>
      </c>
      <c r="H55">
        <v>8.2089552238805999E-2</v>
      </c>
      <c r="I55">
        <v>8.7107008609418806</v>
      </c>
      <c r="J55">
        <v>12.1590354015269</v>
      </c>
      <c r="K55">
        <v>-2.7650594490228499</v>
      </c>
      <c r="L55">
        <v>5.9440526324727099</v>
      </c>
      <c r="M55">
        <v>7.0211439308176997</v>
      </c>
      <c r="N55">
        <v>5.0775490528240201</v>
      </c>
      <c r="O55">
        <v>6.6296564240080098</v>
      </c>
      <c r="P55">
        <v>9.1253515678154997</v>
      </c>
      <c r="Q55">
        <v>4.9146103851837104</v>
      </c>
      <c r="R55">
        <v>1.07416866903872</v>
      </c>
      <c r="S55">
        <v>0.49581501989634502</v>
      </c>
      <c r="T55">
        <v>1.1830768628872901</v>
      </c>
      <c r="U55">
        <v>0.68560379153530104</v>
      </c>
      <c r="V55">
        <v>-1.63322685972379</v>
      </c>
      <c r="W55">
        <v>3.0044344427943899</v>
      </c>
      <c r="X55">
        <v>54</v>
      </c>
    </row>
    <row r="56" spans="1:24" x14ac:dyDescent="0.3">
      <c r="A56">
        <v>11112</v>
      </c>
      <c r="B56">
        <v>263</v>
      </c>
      <c r="C56" t="s">
        <v>12</v>
      </c>
      <c r="D56" t="s">
        <v>13</v>
      </c>
      <c r="E56" t="s">
        <v>14</v>
      </c>
      <c r="F56" t="s">
        <v>15</v>
      </c>
      <c r="G56" t="s">
        <v>17</v>
      </c>
      <c r="H56">
        <v>7.9847908745247206E-2</v>
      </c>
      <c r="I56">
        <v>8.5279619473403905</v>
      </c>
      <c r="J56">
        <v>12.1590354015269</v>
      </c>
      <c r="K56">
        <v>-2.7962991847413998</v>
      </c>
      <c r="L56">
        <v>5.7356605148687798</v>
      </c>
      <c r="M56">
        <v>6.91044737260333</v>
      </c>
      <c r="N56">
        <v>4.8577944827163</v>
      </c>
      <c r="O56">
        <v>6.4898289866617</v>
      </c>
      <c r="P56">
        <v>8.5568571144555605</v>
      </c>
      <c r="Q56">
        <v>4.6678759333899098</v>
      </c>
      <c r="R56">
        <v>0.99208703598613501</v>
      </c>
      <c r="S56">
        <v>0.52363594129771096</v>
      </c>
      <c r="T56">
        <v>1.1217982376481499</v>
      </c>
      <c r="U56">
        <v>0.75416847179292301</v>
      </c>
      <c r="V56">
        <v>-1.4445560739974499</v>
      </c>
      <c r="W56">
        <v>2.9528930175833001</v>
      </c>
      <c r="X56">
        <v>55</v>
      </c>
    </row>
    <row r="57" spans="1:24" x14ac:dyDescent="0.3">
      <c r="A57">
        <v>21212</v>
      </c>
      <c r="B57">
        <v>338</v>
      </c>
      <c r="C57" t="s">
        <v>23</v>
      </c>
      <c r="D57" t="s">
        <v>13</v>
      </c>
      <c r="E57" t="s">
        <v>14</v>
      </c>
      <c r="F57" t="s">
        <v>20</v>
      </c>
      <c r="G57" t="s">
        <v>17</v>
      </c>
      <c r="H57">
        <v>0.171597633136095</v>
      </c>
      <c r="I57">
        <v>16.759113767047602</v>
      </c>
      <c r="J57">
        <v>12.1590354015269</v>
      </c>
      <c r="K57">
        <v>-1.6718256911236</v>
      </c>
      <c r="L57">
        <v>15.789802905280499</v>
      </c>
      <c r="M57">
        <v>18.360621232150802</v>
      </c>
      <c r="N57">
        <v>13.800464773584901</v>
      </c>
      <c r="O57">
        <v>16.546912047321101</v>
      </c>
      <c r="P57">
        <v>20.831483415227101</v>
      </c>
      <c r="Q57">
        <v>13.273985132991299</v>
      </c>
      <c r="R57">
        <v>1.92793323526423</v>
      </c>
      <c r="S57">
        <v>1.16330521902191</v>
      </c>
      <c r="T57">
        <v>2.2517117027363902</v>
      </c>
      <c r="U57">
        <v>0.75710914204054802</v>
      </c>
      <c r="V57">
        <v>-3.65624579532279</v>
      </c>
      <c r="W57">
        <v>5.1704640794038799</v>
      </c>
      <c r="X57">
        <v>56</v>
      </c>
    </row>
    <row r="58" spans="1:24" x14ac:dyDescent="0.3">
      <c r="A58">
        <v>11122</v>
      </c>
      <c r="B58">
        <v>267</v>
      </c>
      <c r="C58" t="s">
        <v>12</v>
      </c>
      <c r="D58" t="s">
        <v>13</v>
      </c>
      <c r="E58" t="s">
        <v>18</v>
      </c>
      <c r="F58" t="s">
        <v>15</v>
      </c>
      <c r="G58" t="s">
        <v>17</v>
      </c>
      <c r="H58">
        <v>0.101123595505618</v>
      </c>
      <c r="I58">
        <v>10.3570024069169</v>
      </c>
      <c r="J58">
        <v>12.1590354015269</v>
      </c>
      <c r="K58">
        <v>-2.50473734192455</v>
      </c>
      <c r="L58">
        <v>7.5382188849252998</v>
      </c>
      <c r="M58">
        <v>8.7771247549876001</v>
      </c>
      <c r="N58">
        <v>6.4389293778116503</v>
      </c>
      <c r="O58">
        <v>8.3228690054973598</v>
      </c>
      <c r="P58">
        <v>10.9980072868722</v>
      </c>
      <c r="Q58">
        <v>6.3535697055454898</v>
      </c>
      <c r="R58">
        <v>1.1848055054405</v>
      </c>
      <c r="S58">
        <v>0.59647841254488398</v>
      </c>
      <c r="T58">
        <v>1.3264805246795699</v>
      </c>
      <c r="U58">
        <v>0.78465012057205497</v>
      </c>
      <c r="V58">
        <v>-1.8152517077999</v>
      </c>
      <c r="W58">
        <v>3.3845519489440101</v>
      </c>
      <c r="X58">
        <v>57</v>
      </c>
    </row>
    <row r="59" spans="1:24" x14ac:dyDescent="0.3">
      <c r="A59">
        <v>21231</v>
      </c>
      <c r="B59">
        <v>336</v>
      </c>
      <c r="C59" t="s">
        <v>23</v>
      </c>
      <c r="D59" t="s">
        <v>13</v>
      </c>
      <c r="E59" t="s">
        <v>19</v>
      </c>
      <c r="F59" t="s">
        <v>20</v>
      </c>
      <c r="G59" t="s">
        <v>16</v>
      </c>
      <c r="H59">
        <v>0.175595238095238</v>
      </c>
      <c r="I59">
        <v>17.1282699151215</v>
      </c>
      <c r="J59">
        <v>12.1590354015269</v>
      </c>
      <c r="K59">
        <v>-1.6405859554050499</v>
      </c>
      <c r="L59">
        <v>16.2710207377819</v>
      </c>
      <c r="M59">
        <v>18.617857777618699</v>
      </c>
      <c r="N59">
        <v>14.124947393953599</v>
      </c>
      <c r="O59">
        <v>17.096770641010899</v>
      </c>
      <c r="P59">
        <v>21.229674815215901</v>
      </c>
      <c r="Q59">
        <v>13.458108773313</v>
      </c>
      <c r="R59">
        <v>1.9825423576282799</v>
      </c>
      <c r="S59">
        <v>1.1461506080778301</v>
      </c>
      <c r="T59">
        <v>2.2900077327789701</v>
      </c>
      <c r="U59">
        <v>0.82574990322900299</v>
      </c>
      <c r="V59">
        <v>-3.6626652530177899</v>
      </c>
      <c r="W59">
        <v>5.3141650594757897</v>
      </c>
      <c r="X59">
        <v>58</v>
      </c>
    </row>
    <row r="60" spans="1:24" x14ac:dyDescent="0.3">
      <c r="A60">
        <v>22112</v>
      </c>
      <c r="B60">
        <v>182</v>
      </c>
      <c r="C60" t="s">
        <v>23</v>
      </c>
      <c r="D60" t="s">
        <v>21</v>
      </c>
      <c r="E60" t="s">
        <v>14</v>
      </c>
      <c r="F60" t="s">
        <v>15</v>
      </c>
      <c r="G60" t="s">
        <v>17</v>
      </c>
      <c r="H60">
        <v>0.13736263736263701</v>
      </c>
      <c r="I60">
        <v>13.498244010409</v>
      </c>
      <c r="J60">
        <v>12.1590354015269</v>
      </c>
      <c r="K60">
        <v>-2.1030741074287098</v>
      </c>
      <c r="L60">
        <v>10.9094709491381</v>
      </c>
      <c r="M60">
        <v>12.7373906762383</v>
      </c>
      <c r="N60">
        <v>9.2548925564024902</v>
      </c>
      <c r="O60">
        <v>11.870323652762</v>
      </c>
      <c r="P60">
        <v>15.3483132012762</v>
      </c>
      <c r="Q60">
        <v>8.8428157774297294</v>
      </c>
      <c r="R60">
        <v>1.6595656693485801</v>
      </c>
      <c r="S60">
        <v>0.88839237750912503</v>
      </c>
      <c r="T60">
        <v>1.88239188993597</v>
      </c>
      <c r="U60">
        <v>0.96085270362394903</v>
      </c>
      <c r="V60">
        <v>-2.7286354006505502</v>
      </c>
      <c r="W60">
        <v>4.6503408078984503</v>
      </c>
      <c r="X60">
        <v>59</v>
      </c>
    </row>
    <row r="61" spans="1:24" x14ac:dyDescent="0.3">
      <c r="A61">
        <v>13122</v>
      </c>
      <c r="B61">
        <v>273</v>
      </c>
      <c r="C61" t="s">
        <v>12</v>
      </c>
      <c r="D61" t="s">
        <v>22</v>
      </c>
      <c r="E61" t="s">
        <v>18</v>
      </c>
      <c r="F61" t="s">
        <v>15</v>
      </c>
      <c r="G61" t="s">
        <v>17</v>
      </c>
      <c r="H61">
        <v>0.14285714285714299</v>
      </c>
      <c r="I61">
        <v>14.063986982885201</v>
      </c>
      <c r="J61">
        <v>12.1590354015269</v>
      </c>
      <c r="K61">
        <v>-2.0088455603816202</v>
      </c>
      <c r="L61">
        <v>11.781312436855</v>
      </c>
      <c r="M61">
        <v>13.543259855047401</v>
      </c>
      <c r="N61">
        <v>10.163060293120401</v>
      </c>
      <c r="O61">
        <v>12.9515292923583</v>
      </c>
      <c r="P61">
        <v>16.320305851233201</v>
      </c>
      <c r="Q61">
        <v>10.0946530323594</v>
      </c>
      <c r="R61">
        <v>1.5881767395086199</v>
      </c>
      <c r="S61">
        <v>0.86229580661401595</v>
      </c>
      <c r="T61">
        <v>1.80716889471359</v>
      </c>
      <c r="U61">
        <v>1.1702168555033301</v>
      </c>
      <c r="V61">
        <v>-2.3718341781353098</v>
      </c>
      <c r="W61">
        <v>4.7122678891419696</v>
      </c>
      <c r="X61">
        <v>60</v>
      </c>
    </row>
    <row r="62" spans="1:24" x14ac:dyDescent="0.3">
      <c r="A62">
        <v>11222</v>
      </c>
      <c r="B62">
        <v>410</v>
      </c>
      <c r="C62" t="s">
        <v>12</v>
      </c>
      <c r="D62" t="s">
        <v>13</v>
      </c>
      <c r="E62" t="s">
        <v>18</v>
      </c>
      <c r="F62" t="s">
        <v>20</v>
      </c>
      <c r="G62" t="s">
        <v>17</v>
      </c>
      <c r="H62">
        <v>0.141463414634146</v>
      </c>
      <c r="I62">
        <v>14.0031492081891</v>
      </c>
      <c r="J62">
        <v>12.1590354015269</v>
      </c>
      <c r="K62">
        <v>-2.0248671428882199</v>
      </c>
      <c r="L62">
        <v>11.6541676068776</v>
      </c>
      <c r="M62">
        <v>13.318264632635101</v>
      </c>
      <c r="N62">
        <v>10.012551996605801</v>
      </c>
      <c r="O62">
        <v>12.9926675952438</v>
      </c>
      <c r="P62">
        <v>16.444225606987299</v>
      </c>
      <c r="Q62">
        <v>10.2399539162318</v>
      </c>
      <c r="R62">
        <v>1.5827223700907</v>
      </c>
      <c r="S62">
        <v>0.84329403980338402</v>
      </c>
      <c r="T62">
        <v>1.7933641399206799</v>
      </c>
      <c r="U62">
        <v>1.3384999883662201</v>
      </c>
      <c r="V62">
        <v>-2.1764937258783199</v>
      </c>
      <c r="W62">
        <v>4.8534937026107601</v>
      </c>
      <c r="X62">
        <v>61</v>
      </c>
    </row>
    <row r="63" spans="1:24" x14ac:dyDescent="0.3">
      <c r="A63">
        <v>23111</v>
      </c>
      <c r="B63">
        <v>63</v>
      </c>
      <c r="C63" t="s">
        <v>23</v>
      </c>
      <c r="D63" t="s">
        <v>22</v>
      </c>
      <c r="E63" t="s">
        <v>14</v>
      </c>
      <c r="F63" t="s">
        <v>15</v>
      </c>
      <c r="G63" t="s">
        <v>16</v>
      </c>
      <c r="H63">
        <v>0.22222222222222199</v>
      </c>
      <c r="I63">
        <v>19.142981329113798</v>
      </c>
      <c r="J63">
        <v>12.1590354015269</v>
      </c>
      <c r="K63">
        <v>-1.9324798025085801</v>
      </c>
      <c r="L63">
        <v>12.6374400057255</v>
      </c>
      <c r="M63">
        <v>14.8485115397451</v>
      </c>
      <c r="N63">
        <v>10.7844926498872</v>
      </c>
      <c r="O63">
        <v>14.169550787956601</v>
      </c>
      <c r="P63">
        <v>18.864499007564699</v>
      </c>
      <c r="Q63">
        <v>10.553018155742199</v>
      </c>
      <c r="R63">
        <v>2.1202757275057298</v>
      </c>
      <c r="S63">
        <v>1.0367395127188499</v>
      </c>
      <c r="T63">
        <v>2.36016905705555</v>
      </c>
      <c r="U63">
        <v>1.53211078223108</v>
      </c>
      <c r="V63">
        <v>-3.0938205695978001</v>
      </c>
      <c r="W63">
        <v>6.1580421340599498</v>
      </c>
      <c r="X63">
        <v>62</v>
      </c>
    </row>
    <row r="64" spans="1:24" x14ac:dyDescent="0.3">
      <c r="A64">
        <v>22221</v>
      </c>
      <c r="B64">
        <v>171</v>
      </c>
      <c r="C64" t="s">
        <v>23</v>
      </c>
      <c r="D64" t="s">
        <v>21</v>
      </c>
      <c r="E64" t="s">
        <v>18</v>
      </c>
      <c r="F64" t="s">
        <v>20</v>
      </c>
      <c r="G64" t="s">
        <v>16</v>
      </c>
      <c r="H64">
        <v>0.21052631578947401</v>
      </c>
      <c r="I64">
        <v>19.826123723126798</v>
      </c>
      <c r="J64">
        <v>12.1590354015269</v>
      </c>
      <c r="K64">
        <v>-1.6083177594671101</v>
      </c>
      <c r="L64">
        <v>16.720260215712699</v>
      </c>
      <c r="M64">
        <v>19.157788976497301</v>
      </c>
      <c r="N64">
        <v>14.4677898710055</v>
      </c>
      <c r="O64">
        <v>18.439613146187</v>
      </c>
      <c r="P64">
        <v>23.129522636805302</v>
      </c>
      <c r="Q64">
        <v>14.297825543126899</v>
      </c>
      <c r="R64">
        <v>2.2529839524689801</v>
      </c>
      <c r="S64">
        <v>1.1964283432377001</v>
      </c>
      <c r="T64">
        <v>2.55095618750798</v>
      </c>
      <c r="U64">
        <v>1.71935293047434</v>
      </c>
      <c r="V64">
        <v>-3.2805211970412902</v>
      </c>
      <c r="W64">
        <v>6.7192270579899702</v>
      </c>
      <c r="X64">
        <v>63</v>
      </c>
    </row>
    <row r="65" spans="1:24" x14ac:dyDescent="0.3">
      <c r="A65">
        <v>23231</v>
      </c>
      <c r="B65">
        <v>249</v>
      </c>
      <c r="C65" t="s">
        <v>23</v>
      </c>
      <c r="D65" t="s">
        <v>22</v>
      </c>
      <c r="E65" t="s">
        <v>19</v>
      </c>
      <c r="F65" t="s">
        <v>20</v>
      </c>
      <c r="G65" t="s">
        <v>16</v>
      </c>
      <c r="H65">
        <v>0.27710843373493999</v>
      </c>
      <c r="I65">
        <v>26.3336326508614</v>
      </c>
      <c r="J65">
        <v>12.1590354015269</v>
      </c>
      <c r="K65">
        <v>-1.1446941738621199</v>
      </c>
      <c r="L65">
        <v>24.231906914242298</v>
      </c>
      <c r="M65">
        <v>27.2099907893151</v>
      </c>
      <c r="N65">
        <v>21.1750307373627</v>
      </c>
      <c r="O65">
        <v>26.076964328873601</v>
      </c>
      <c r="P65">
        <v>31.7484952096226</v>
      </c>
      <c r="Q65">
        <v>21.297945732926902</v>
      </c>
      <c r="R65">
        <v>2.6659564991570801</v>
      </c>
      <c r="S65">
        <v>1.5395306254980601</v>
      </c>
      <c r="T65">
        <v>3.0785513804782201</v>
      </c>
      <c r="U65">
        <v>1.8450574146312699</v>
      </c>
      <c r="V65">
        <v>-4.1889032911060404</v>
      </c>
      <c r="W65">
        <v>7.8790181203685696</v>
      </c>
      <c r="X65">
        <v>64</v>
      </c>
    </row>
    <row r="66" spans="1:24" x14ac:dyDescent="0.3">
      <c r="A66">
        <v>23132</v>
      </c>
      <c r="B66">
        <v>470</v>
      </c>
      <c r="C66" t="s">
        <v>23</v>
      </c>
      <c r="D66" t="s">
        <v>22</v>
      </c>
      <c r="E66" t="s">
        <v>19</v>
      </c>
      <c r="F66" t="s">
        <v>15</v>
      </c>
      <c r="G66" t="s">
        <v>17</v>
      </c>
      <c r="H66">
        <v>0.23404255319148901</v>
      </c>
      <c r="I66">
        <v>22.820567888177099</v>
      </c>
      <c r="J66">
        <v>12.1590354015269</v>
      </c>
      <c r="K66">
        <v>-1.34788867900686</v>
      </c>
      <c r="L66">
        <v>20.610786431712501</v>
      </c>
      <c r="M66">
        <v>23.225248619914801</v>
      </c>
      <c r="N66">
        <v>18.2489956922097</v>
      </c>
      <c r="O66">
        <v>22.5767208337056</v>
      </c>
      <c r="P66">
        <v>26.679445797071299</v>
      </c>
      <c r="Q66">
        <v>18.477016401436</v>
      </c>
      <c r="R66">
        <v>2.0924564784783999</v>
      </c>
      <c r="S66">
        <v>1.2694522774757699</v>
      </c>
      <c r="T66">
        <v>2.4474237882137699</v>
      </c>
      <c r="U66">
        <v>1.96593440199312</v>
      </c>
      <c r="V66">
        <v>-2.8310162229058702</v>
      </c>
      <c r="W66">
        <v>6.7628850268921203</v>
      </c>
      <c r="X66">
        <v>65</v>
      </c>
    </row>
    <row r="67" spans="1:24" x14ac:dyDescent="0.3">
      <c r="A67">
        <v>23222</v>
      </c>
      <c r="B67">
        <v>351</v>
      </c>
      <c r="C67" t="s">
        <v>23</v>
      </c>
      <c r="D67" t="s">
        <v>22</v>
      </c>
      <c r="E67" t="s">
        <v>18</v>
      </c>
      <c r="F67" t="s">
        <v>20</v>
      </c>
      <c r="G67" t="s">
        <v>17</v>
      </c>
      <c r="H67">
        <v>0.321937321937322</v>
      </c>
      <c r="I67">
        <v>30.982209381481699</v>
      </c>
      <c r="J67">
        <v>12.1590354015269</v>
      </c>
      <c r="K67">
        <v>-0.88437206676381397</v>
      </c>
      <c r="L67">
        <v>29.202256221519502</v>
      </c>
      <c r="M67">
        <v>32.3398979863723</v>
      </c>
      <c r="N67">
        <v>25.911587849766502</v>
      </c>
      <c r="O67">
        <v>31.262096754752399</v>
      </c>
      <c r="P67">
        <v>36.095992590823002</v>
      </c>
      <c r="Q67">
        <v>26.298132537779601</v>
      </c>
      <c r="R67">
        <v>2.49945409516411</v>
      </c>
      <c r="S67">
        <v>1.6398750348484401</v>
      </c>
      <c r="T67">
        <v>2.9893913935367902</v>
      </c>
      <c r="U67">
        <v>2.0598405332329901</v>
      </c>
      <c r="V67">
        <v>-3.79936659809912</v>
      </c>
      <c r="W67">
        <v>7.91904766456509</v>
      </c>
      <c r="X67">
        <v>66</v>
      </c>
    </row>
    <row r="68" spans="1:24" x14ac:dyDescent="0.3">
      <c r="A68">
        <v>11231</v>
      </c>
      <c r="B68">
        <v>344</v>
      </c>
      <c r="C68" t="s">
        <v>12</v>
      </c>
      <c r="D68" t="s">
        <v>13</v>
      </c>
      <c r="E68" t="s">
        <v>19</v>
      </c>
      <c r="F68" t="s">
        <v>20</v>
      </c>
      <c r="G68" t="s">
        <v>16</v>
      </c>
      <c r="H68">
        <v>0.13953488372093001</v>
      </c>
      <c r="I68">
        <v>13.8006038715495</v>
      </c>
      <c r="J68">
        <v>12.1590354015269</v>
      </c>
      <c r="K68">
        <v>-2.2851892499865198</v>
      </c>
      <c r="L68">
        <v>9.2485167860701303</v>
      </c>
      <c r="M68">
        <v>10.754513492880101</v>
      </c>
      <c r="N68">
        <v>8.0132737704877606</v>
      </c>
      <c r="O68">
        <v>11.3474118772388</v>
      </c>
      <c r="P68">
        <v>14.695293804311399</v>
      </c>
      <c r="Q68">
        <v>8.9253611430419006</v>
      </c>
      <c r="R68">
        <v>1.4719215972626201</v>
      </c>
      <c r="S68">
        <v>0.69929584754907204</v>
      </c>
      <c r="T68">
        <v>1.6295913202050101</v>
      </c>
      <c r="U68">
        <v>2.0988950911686999</v>
      </c>
      <c r="V68">
        <v>-1.0951038964331301</v>
      </c>
      <c r="W68">
        <v>5.2928940787705301</v>
      </c>
      <c r="X68">
        <v>67</v>
      </c>
    </row>
    <row r="69" spans="1:24" x14ac:dyDescent="0.3">
      <c r="A69" s="2">
        <v>23232</v>
      </c>
      <c r="B69" s="2">
        <v>503</v>
      </c>
      <c r="C69" s="2" t="s">
        <v>23</v>
      </c>
      <c r="D69" s="2" t="s">
        <v>22</v>
      </c>
      <c r="E69" s="2" t="s">
        <v>19</v>
      </c>
      <c r="F69" s="2" t="s">
        <v>20</v>
      </c>
      <c r="G69" s="2" t="s">
        <v>17</v>
      </c>
      <c r="H69" s="2">
        <v>0.32405566600397601</v>
      </c>
      <c r="I69" s="2">
        <v>31.541448804168301</v>
      </c>
      <c r="J69" s="2">
        <v>12.1590354015269</v>
      </c>
      <c r="K69" s="2">
        <v>-0.86801847997053305</v>
      </c>
      <c r="L69" s="2">
        <v>29.5864840964439</v>
      </c>
      <c r="M69" s="2">
        <v>32.803926730313599</v>
      </c>
      <c r="N69" s="2">
        <v>26.426260159443</v>
      </c>
      <c r="O69" s="2">
        <v>31.716860302513499</v>
      </c>
      <c r="P69" s="2">
        <v>36.565044986827303</v>
      </c>
      <c r="Q69" s="2">
        <v>27.311141441408498</v>
      </c>
      <c r="R69" s="2">
        <v>2.3606896799537802</v>
      </c>
      <c r="S69" s="2">
        <v>1.6269557578751599</v>
      </c>
      <c r="T69" s="2">
        <v>2.8670264740883402</v>
      </c>
      <c r="U69" s="2">
        <v>2.1303762060696401</v>
      </c>
      <c r="V69" s="2">
        <v>-3.4889956831435001</v>
      </c>
      <c r="W69" s="2">
        <v>7.7497480952827802</v>
      </c>
      <c r="X69" s="2">
        <v>68</v>
      </c>
    </row>
    <row r="70" spans="1:24" x14ac:dyDescent="0.3">
      <c r="A70" s="2">
        <v>12221</v>
      </c>
      <c r="B70" s="2">
        <v>204</v>
      </c>
      <c r="C70" s="2" t="s">
        <v>12</v>
      </c>
      <c r="D70" s="2" t="s">
        <v>21</v>
      </c>
      <c r="E70" s="2" t="s">
        <v>18</v>
      </c>
      <c r="F70" s="2" t="s">
        <v>20</v>
      </c>
      <c r="G70" s="2" t="s">
        <v>16</v>
      </c>
      <c r="H70" s="2">
        <v>0.161764705882353</v>
      </c>
      <c r="I70" s="2">
        <v>15.6565409053406</v>
      </c>
      <c r="J70" s="2">
        <v>12.1590354015269</v>
      </c>
      <c r="K70" s="2">
        <v>-2.2529210540485902</v>
      </c>
      <c r="L70" s="2">
        <v>9.5048302614169504</v>
      </c>
      <c r="M70" s="2">
        <v>11.149748354545601</v>
      </c>
      <c r="N70" s="2">
        <v>8.1519604339160594</v>
      </c>
      <c r="O70" s="2">
        <v>11.705955414872401</v>
      </c>
      <c r="P70" s="2">
        <v>15.181831256997199</v>
      </c>
      <c r="Q70" s="2">
        <v>8.9296128673371502</v>
      </c>
      <c r="R70" s="2">
        <v>1.5949536708316501</v>
      </c>
      <c r="S70" s="2">
        <v>0.76474181648713802</v>
      </c>
      <c r="T70" s="2">
        <v>1.76881521306874</v>
      </c>
      <c r="U70" s="2">
        <v>2.2011251534554699</v>
      </c>
      <c r="V70" s="2">
        <v>-1.26575266415925</v>
      </c>
      <c r="W70" s="2">
        <v>5.66800297107019</v>
      </c>
      <c r="X70" s="2">
        <v>69</v>
      </c>
    </row>
    <row r="71" spans="1:24" x14ac:dyDescent="0.3">
      <c r="A71" s="2">
        <v>22231</v>
      </c>
      <c r="B71" s="2">
        <v>282</v>
      </c>
      <c r="C71" s="2" t="s">
        <v>23</v>
      </c>
      <c r="D71" s="2" t="s">
        <v>21</v>
      </c>
      <c r="E71" s="2" t="s">
        <v>19</v>
      </c>
      <c r="F71" s="2" t="s">
        <v>20</v>
      </c>
      <c r="G71" s="2" t="s">
        <v>16</v>
      </c>
      <c r="H71" s="2">
        <v>0.22340425531914901</v>
      </c>
      <c r="I71" s="2">
        <v>21.468179281767299</v>
      </c>
      <c r="J71" s="2">
        <v>12.1590354015269</v>
      </c>
      <c r="K71" s="2">
        <v>-1.5919641726738301</v>
      </c>
      <c r="L71" s="2">
        <v>16.9681195164126</v>
      </c>
      <c r="M71" s="2">
        <v>19.432130152225</v>
      </c>
      <c r="N71" s="2">
        <v>14.783504593347001</v>
      </c>
      <c r="O71" s="2">
        <v>19.815934120902099</v>
      </c>
      <c r="P71" s="2">
        <v>24.727135122000298</v>
      </c>
      <c r="Q71" s="2">
        <v>15.8350250611976</v>
      </c>
      <c r="R71" s="2">
        <v>2.2683954236741601</v>
      </c>
      <c r="S71" s="2">
        <v>1.1858738670607001</v>
      </c>
      <c r="T71" s="2">
        <v>2.5596708043659402</v>
      </c>
      <c r="U71" s="2">
        <v>2.8478146044895798</v>
      </c>
      <c r="V71" s="2">
        <v>-2.16914017206767</v>
      </c>
      <c r="W71" s="2">
        <v>7.8647693810468304</v>
      </c>
      <c r="X71" s="2">
        <v>70</v>
      </c>
    </row>
    <row r="72" spans="1:24" x14ac:dyDescent="0.3">
      <c r="A72" s="2">
        <v>23112</v>
      </c>
      <c r="B72" s="2">
        <v>195</v>
      </c>
      <c r="C72" s="2" t="s">
        <v>23</v>
      </c>
      <c r="D72" s="2" t="s">
        <v>22</v>
      </c>
      <c r="E72" s="2" t="s">
        <v>14</v>
      </c>
      <c r="F72" s="2" t="s">
        <v>15</v>
      </c>
      <c r="G72" s="2" t="s">
        <v>17</v>
      </c>
      <c r="H72" s="2">
        <v>0.241025641025641</v>
      </c>
      <c r="I72" s="2">
        <v>22.707633756186301</v>
      </c>
      <c r="J72" s="2">
        <v>12.1590354015269</v>
      </c>
      <c r="K72" s="2">
        <v>-1.6558041086169899</v>
      </c>
      <c r="L72" s="2">
        <v>16.023951474345999</v>
      </c>
      <c r="M72" s="2">
        <v>18.435742032632302</v>
      </c>
      <c r="N72" s="2">
        <v>13.8832451891791</v>
      </c>
      <c r="O72" s="2">
        <v>19.4672498760733</v>
      </c>
      <c r="P72" s="2">
        <v>24.411234545626101</v>
      </c>
      <c r="Q72" s="2">
        <v>15.5256438000266</v>
      </c>
      <c r="R72" s="2">
        <v>2.26673233306107</v>
      </c>
      <c r="S72" s="2">
        <v>1.1613512355748099</v>
      </c>
      <c r="T72" s="2">
        <v>2.54692209580812</v>
      </c>
      <c r="U72" s="2">
        <v>3.44329840172735</v>
      </c>
      <c r="V72" s="2">
        <v>-1.5486689060565699</v>
      </c>
      <c r="W72" s="2">
        <v>8.4352657095112704</v>
      </c>
      <c r="X72" s="2">
        <v>71</v>
      </c>
    </row>
    <row r="73" spans="1:24" x14ac:dyDescent="0.3">
      <c r="A73" s="2">
        <v>23122</v>
      </c>
      <c r="B73" s="2">
        <v>246</v>
      </c>
      <c r="C73" s="2" t="s">
        <v>23</v>
      </c>
      <c r="D73" s="2" t="s">
        <v>22</v>
      </c>
      <c r="E73" s="2" t="s">
        <v>18</v>
      </c>
      <c r="F73" s="2" t="s">
        <v>15</v>
      </c>
      <c r="G73" s="2" t="s">
        <v>17</v>
      </c>
      <c r="H73" s="2">
        <v>0.276422764227642</v>
      </c>
      <c r="I73" s="2">
        <v>26.254286056149802</v>
      </c>
      <c r="J73" s="2">
        <v>12.1590354015269</v>
      </c>
      <c r="K73" s="2">
        <v>-1.3642422658001401</v>
      </c>
      <c r="L73" s="2">
        <v>20.301604589325201</v>
      </c>
      <c r="M73" s="2">
        <v>22.765363912550399</v>
      </c>
      <c r="N73" s="2">
        <v>17.868963539910101</v>
      </c>
      <c r="O73" s="2">
        <v>24.2255532699638</v>
      </c>
      <c r="P73" s="2">
        <v>29.482716426416999</v>
      </c>
      <c r="Q73" s="2">
        <v>19.5494206474905</v>
      </c>
      <c r="R73" s="2">
        <v>2.53400402523636</v>
      </c>
      <c r="S73" s="2">
        <v>1.24908172771436</v>
      </c>
      <c r="T73" s="2">
        <v>2.82513390168041</v>
      </c>
      <c r="U73" s="2">
        <v>3.9239486806385901</v>
      </c>
      <c r="V73" s="2">
        <v>-1.6133137666550099</v>
      </c>
      <c r="W73" s="2">
        <v>9.4612111279321898</v>
      </c>
      <c r="X73" s="2">
        <v>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9A73-C26A-4AB8-8006-7082844D7B50}">
  <dimension ref="A1:Z73"/>
  <sheetViews>
    <sheetView workbookViewId="0">
      <selection activeCell="A2" sqref="A2:R73"/>
    </sheetView>
  </sheetViews>
  <sheetFormatPr baseColWidth="10" defaultRowHeight="14.4" x14ac:dyDescent="0.3"/>
  <cols>
    <col min="1" max="2" width="11.5546875" style="53"/>
    <col min="3" max="7" width="11.5546875" style="47"/>
    <col min="8" max="8" width="11.5546875" style="48" hidden="1" customWidth="1"/>
    <col min="9" max="9" width="11.5546875" style="47"/>
    <col min="10" max="12" width="11.5546875" style="47" hidden="1" customWidth="1"/>
    <col min="13" max="15" width="11.5546875" style="49" hidden="1" customWidth="1"/>
    <col min="16" max="16" width="11.5546875" style="49" customWidth="1"/>
    <col min="17" max="17" width="12.5546875" style="49" customWidth="1"/>
    <col min="18" max="18" width="13.33203125" style="49" customWidth="1"/>
    <col min="19" max="19" width="13.44140625" style="2" hidden="1" customWidth="1"/>
    <col min="20" max="25" width="0" style="2" hidden="1" customWidth="1"/>
    <col min="26" max="26" width="0" hidden="1" customWidth="1"/>
    <col min="28" max="28" width="0" hidden="1" customWidth="1"/>
  </cols>
  <sheetData>
    <row r="1" spans="1:26" x14ac:dyDescent="0.3">
      <c r="A1" s="53" t="s">
        <v>0</v>
      </c>
      <c r="B1" s="53" t="s">
        <v>11</v>
      </c>
      <c r="C1" t="s">
        <v>6</v>
      </c>
      <c r="D1" t="s">
        <v>172</v>
      </c>
      <c r="E1" t="s">
        <v>173</v>
      </c>
      <c r="F1" t="s">
        <v>8</v>
      </c>
      <c r="G1" t="s">
        <v>10</v>
      </c>
      <c r="H1" t="s">
        <v>26</v>
      </c>
      <c r="I1" t="s">
        <v>174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35</v>
      </c>
      <c r="R1" t="s">
        <v>34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</row>
    <row r="2" spans="1:26" x14ac:dyDescent="0.3">
      <c r="A2" s="54">
        <v>11111</v>
      </c>
      <c r="B2" s="54">
        <v>75</v>
      </c>
      <c r="C2" s="50" t="s">
        <v>12</v>
      </c>
      <c r="D2" s="50" t="s">
        <v>13</v>
      </c>
      <c r="E2" s="50" t="s">
        <v>15</v>
      </c>
      <c r="F2" s="50" t="s">
        <v>14</v>
      </c>
      <c r="G2" s="50" t="s">
        <v>16</v>
      </c>
      <c r="H2" s="51">
        <v>0.04</v>
      </c>
      <c r="I2" s="52">
        <f>Tabla4[[#This Row],[sedentarismo2]]*100</f>
        <v>4</v>
      </c>
      <c r="J2" s="50">
        <v>6.9632572000000001</v>
      </c>
      <c r="K2" s="50">
        <v>12.158963999999999</v>
      </c>
      <c r="L2" s="50">
        <v>-3.0729576000000001</v>
      </c>
      <c r="M2" s="52">
        <v>4.4311813000000004</v>
      </c>
      <c r="N2" s="52">
        <v>5.3980679</v>
      </c>
      <c r="O2" s="52">
        <v>3.6018582000000001</v>
      </c>
      <c r="P2" s="52">
        <v>4.4154135999999999</v>
      </c>
      <c r="Q2" s="52">
        <v>3.1062289000000001</v>
      </c>
      <c r="R2" s="52">
        <v>6.3624353999999999</v>
      </c>
      <c r="S2" s="31">
        <v>0.83066492000000003</v>
      </c>
      <c r="T2" s="31">
        <v>0.45821675000000001</v>
      </c>
      <c r="U2" s="31">
        <v>0.9486658</v>
      </c>
      <c r="V2" s="31">
        <v>-1.5767679999999999E-2</v>
      </c>
      <c r="W2" s="31">
        <v>-1.8751526999999999</v>
      </c>
      <c r="X2" s="31">
        <v>1.8436173</v>
      </c>
      <c r="Y2" s="31">
        <v>1</v>
      </c>
      <c r="Z2">
        <v>38</v>
      </c>
    </row>
    <row r="3" spans="1:26" x14ac:dyDescent="0.3">
      <c r="A3" s="54">
        <v>12111</v>
      </c>
      <c r="B3" s="54">
        <v>81</v>
      </c>
      <c r="C3" s="50" t="s">
        <v>12</v>
      </c>
      <c r="D3" s="50" t="s">
        <v>21</v>
      </c>
      <c r="E3" s="50" t="s">
        <v>15</v>
      </c>
      <c r="F3" s="50" t="s">
        <v>14</v>
      </c>
      <c r="G3" s="50" t="s">
        <v>16</v>
      </c>
      <c r="H3" s="51">
        <v>4.9382719999999998E-2</v>
      </c>
      <c r="I3" s="52">
        <f>Tabla4[[#This Row],[sedentarismo2]]*100</f>
        <v>4.9382719999999996</v>
      </c>
      <c r="J3" s="50">
        <v>7.3936921</v>
      </c>
      <c r="K3" s="50">
        <v>12.158963999999999</v>
      </c>
      <c r="L3" s="50">
        <v>-3.0243658</v>
      </c>
      <c r="M3" s="52">
        <v>4.6287786999999998</v>
      </c>
      <c r="N3" s="52">
        <v>5.6402596000000003</v>
      </c>
      <c r="O3" s="52">
        <v>3.8455398999999999</v>
      </c>
      <c r="P3" s="52">
        <v>4.6730796999999997</v>
      </c>
      <c r="Q3" s="52">
        <v>3.2855737</v>
      </c>
      <c r="R3" s="52">
        <v>6.4080725000000003</v>
      </c>
      <c r="S3" s="31">
        <v>0.79655580000000004</v>
      </c>
      <c r="T3" s="31">
        <v>0.45783666000000001</v>
      </c>
      <c r="U3" s="31">
        <v>0.91875761</v>
      </c>
      <c r="V3" s="31">
        <v>4.4301069999999998E-2</v>
      </c>
      <c r="W3" s="31">
        <v>-1.7564639</v>
      </c>
      <c r="X3" s="31">
        <v>1.8450660000000001</v>
      </c>
      <c r="Y3" s="31">
        <v>2</v>
      </c>
      <c r="Z3">
        <v>39</v>
      </c>
    </row>
    <row r="4" spans="1:26" x14ac:dyDescent="0.3">
      <c r="A4" s="54">
        <v>11121</v>
      </c>
      <c r="B4" s="54">
        <v>151</v>
      </c>
      <c r="C4" s="50" t="s">
        <v>12</v>
      </c>
      <c r="D4" s="50" t="s">
        <v>13</v>
      </c>
      <c r="E4" s="50" t="s">
        <v>15</v>
      </c>
      <c r="F4" s="50" t="s">
        <v>18</v>
      </c>
      <c r="G4" s="50" t="s">
        <v>16</v>
      </c>
      <c r="H4" s="51">
        <v>2.6490070000000001E-2</v>
      </c>
      <c r="I4" s="52">
        <f>Tabla4[[#This Row],[sedentarismo2]]*100</f>
        <v>2.6490070000000001</v>
      </c>
      <c r="J4" s="50">
        <v>4.9758193000000004</v>
      </c>
      <c r="K4" s="50">
        <v>12.158963999999999</v>
      </c>
      <c r="L4" s="50">
        <v>-2.7813853000000002</v>
      </c>
      <c r="M4" s="52">
        <v>5.8939418000000003</v>
      </c>
      <c r="N4" s="52">
        <v>7.0243248999999999</v>
      </c>
      <c r="O4" s="52">
        <v>4.8599325000000002</v>
      </c>
      <c r="P4" s="52">
        <v>5.3119367000000004</v>
      </c>
      <c r="Q4" s="52">
        <v>3.8650817000000002</v>
      </c>
      <c r="R4" s="52">
        <v>7.4287042000000003</v>
      </c>
      <c r="S4" s="31">
        <v>0.90908734999999996</v>
      </c>
      <c r="T4" s="31">
        <v>0.55214090999999998</v>
      </c>
      <c r="U4" s="31">
        <v>1.0636255999999999</v>
      </c>
      <c r="V4" s="31">
        <v>-0.58200505000000002</v>
      </c>
      <c r="W4" s="31">
        <v>-2.6667111999999999</v>
      </c>
      <c r="X4" s="31">
        <v>1.5027010999999999</v>
      </c>
      <c r="Y4" s="31">
        <v>3</v>
      </c>
      <c r="Z4">
        <v>23</v>
      </c>
    </row>
    <row r="5" spans="1:26" x14ac:dyDescent="0.3">
      <c r="A5" s="54">
        <v>12112</v>
      </c>
      <c r="B5" s="54">
        <v>191</v>
      </c>
      <c r="C5" s="50" t="s">
        <v>12</v>
      </c>
      <c r="D5" s="50" t="s">
        <v>21</v>
      </c>
      <c r="E5" s="50" t="s">
        <v>15</v>
      </c>
      <c r="F5" s="50" t="s">
        <v>14</v>
      </c>
      <c r="G5" s="50" t="s">
        <v>17</v>
      </c>
      <c r="H5" s="51">
        <v>5.7591620000000003E-2</v>
      </c>
      <c r="I5" s="52">
        <f>Tabla4[[#This Row],[sedentarismo2]]*100</f>
        <v>5.7591619999999999</v>
      </c>
      <c r="J5" s="50">
        <v>6.9319183000000004</v>
      </c>
      <c r="K5" s="50">
        <v>12.158963999999999</v>
      </c>
      <c r="L5" s="50">
        <v>-2.7476986000000001</v>
      </c>
      <c r="M5" s="52">
        <v>6.0048032999999998</v>
      </c>
      <c r="N5" s="52">
        <v>7.1109090999999998</v>
      </c>
      <c r="O5" s="52">
        <v>5.1046747999999997</v>
      </c>
      <c r="P5" s="52">
        <v>5.9813082</v>
      </c>
      <c r="Q5" s="52">
        <v>4.4162154999999998</v>
      </c>
      <c r="R5" s="52">
        <v>8.2169162999999994</v>
      </c>
      <c r="S5" s="31">
        <v>0.96956653000000004</v>
      </c>
      <c r="T5" s="31">
        <v>0.51179445999999995</v>
      </c>
      <c r="U5" s="31">
        <v>1.0963543</v>
      </c>
      <c r="V5" s="31">
        <v>-2.3495060000000002E-2</v>
      </c>
      <c r="W5" s="31">
        <v>-2.1723495000000002</v>
      </c>
      <c r="X5" s="31">
        <v>2.1253593999999998</v>
      </c>
      <c r="Y5" s="31">
        <v>4</v>
      </c>
      <c r="Z5">
        <v>37</v>
      </c>
    </row>
    <row r="6" spans="1:26" x14ac:dyDescent="0.3">
      <c r="A6" s="54">
        <v>12131</v>
      </c>
      <c r="B6" s="54">
        <v>251</v>
      </c>
      <c r="C6" s="50" t="s">
        <v>12</v>
      </c>
      <c r="D6" s="50" t="s">
        <v>21</v>
      </c>
      <c r="E6" s="50" t="s">
        <v>15</v>
      </c>
      <c r="F6" s="50" t="s">
        <v>19</v>
      </c>
      <c r="G6" s="50" t="s">
        <v>16</v>
      </c>
      <c r="H6" s="51">
        <v>6.3745019999999999E-2</v>
      </c>
      <c r="I6" s="52">
        <f>Tabla4[[#This Row],[sedentarismo2]]*100</f>
        <v>6.3745019999999997</v>
      </c>
      <c r="J6" s="50">
        <v>7.2066840000000001</v>
      </c>
      <c r="K6" s="50">
        <v>12.158963999999999</v>
      </c>
      <c r="L6" s="50">
        <v>-2.7164351</v>
      </c>
      <c r="M6" s="52">
        <v>6.2004961999999999</v>
      </c>
      <c r="N6" s="52">
        <v>7.3676434000000004</v>
      </c>
      <c r="O6" s="52">
        <v>5.2860712000000003</v>
      </c>
      <c r="P6" s="52">
        <v>6.2538964000000004</v>
      </c>
      <c r="Q6" s="52">
        <v>4.6315344999999999</v>
      </c>
      <c r="R6" s="52">
        <v>8.4146678999999995</v>
      </c>
      <c r="S6" s="31">
        <v>0.96508503999999995</v>
      </c>
      <c r="T6" s="31">
        <v>0.53101330999999996</v>
      </c>
      <c r="U6" s="31">
        <v>1.1015280999999999</v>
      </c>
      <c r="V6" s="31">
        <v>5.340019E-2</v>
      </c>
      <c r="W6" s="31">
        <v>-2.1055950000000001</v>
      </c>
      <c r="X6" s="31">
        <v>2.2123954000000001</v>
      </c>
      <c r="Y6" s="31">
        <v>5</v>
      </c>
      <c r="Z6">
        <v>40</v>
      </c>
    </row>
    <row r="7" spans="1:26" x14ac:dyDescent="0.3">
      <c r="A7" s="53">
        <v>11112</v>
      </c>
      <c r="B7" s="53">
        <v>263</v>
      </c>
      <c r="C7" s="47" t="s">
        <v>12</v>
      </c>
      <c r="D7" s="47" t="s">
        <v>13</v>
      </c>
      <c r="E7" s="47" t="s">
        <v>15</v>
      </c>
      <c r="F7" s="47" t="s">
        <v>14</v>
      </c>
      <c r="G7" s="47" t="s">
        <v>17</v>
      </c>
      <c r="H7" s="48">
        <v>7.9847909999999994E-2</v>
      </c>
      <c r="I7" s="49">
        <f>Tabla4[[#This Row],[sedentarismo2]]*100</f>
        <v>7.9847909999999995</v>
      </c>
      <c r="J7" s="47">
        <v>8.5279450000000008</v>
      </c>
      <c r="K7" s="47">
        <v>12.158963999999999</v>
      </c>
      <c r="L7" s="47">
        <v>-2.7962904000000002</v>
      </c>
      <c r="M7" s="49">
        <v>5.7454340000000004</v>
      </c>
      <c r="N7" s="49">
        <v>6.8454088000000004</v>
      </c>
      <c r="O7" s="49">
        <v>4.8631167</v>
      </c>
      <c r="P7" s="49">
        <v>6.4298465</v>
      </c>
      <c r="Q7" s="49">
        <v>4.7851781999999998</v>
      </c>
      <c r="R7" s="49">
        <v>8.6457309999999996</v>
      </c>
      <c r="S7">
        <v>0.98483487999999997</v>
      </c>
      <c r="T7">
        <v>0.50568676000000001</v>
      </c>
      <c r="U7">
        <v>1.1070766999999999</v>
      </c>
      <c r="V7">
        <v>0.68441251999999997</v>
      </c>
      <c r="W7">
        <v>-1.4854578000000001</v>
      </c>
      <c r="X7">
        <v>2.8542828999999998</v>
      </c>
      <c r="Y7">
        <v>6</v>
      </c>
      <c r="Z7">
        <v>56</v>
      </c>
    </row>
    <row r="8" spans="1:26" x14ac:dyDescent="0.3">
      <c r="A8" s="53">
        <v>12121</v>
      </c>
      <c r="B8" s="53">
        <v>137</v>
      </c>
      <c r="C8" s="47" t="s">
        <v>12</v>
      </c>
      <c r="D8" s="47" t="s">
        <v>21</v>
      </c>
      <c r="E8" s="47" t="s">
        <v>15</v>
      </c>
      <c r="F8" s="47" t="s">
        <v>18</v>
      </c>
      <c r="G8" s="47" t="s">
        <v>16</v>
      </c>
      <c r="H8" s="48">
        <v>8.0291970000000004E-2</v>
      </c>
      <c r="I8" s="49">
        <f>Tabla4[[#This Row],[sedentarismo2]]*100</f>
        <v>8.0291969999999999</v>
      </c>
      <c r="J8" s="47">
        <v>8.9365950999999999</v>
      </c>
      <c r="K8" s="47">
        <v>12.158963999999999</v>
      </c>
      <c r="L8" s="47">
        <v>-2.7327935000000001</v>
      </c>
      <c r="M8" s="49">
        <v>6.1094676000000003</v>
      </c>
      <c r="N8" s="49">
        <v>7.3489222999999999</v>
      </c>
      <c r="O8" s="49">
        <v>5.1475621</v>
      </c>
      <c r="P8" s="49">
        <v>6.4705452000000001</v>
      </c>
      <c r="Q8" s="49">
        <v>4.6789417000000002</v>
      </c>
      <c r="R8" s="49">
        <v>8.7546368000000001</v>
      </c>
      <c r="S8">
        <v>1.0397181</v>
      </c>
      <c r="T8">
        <v>0.5615715</v>
      </c>
      <c r="U8">
        <v>1.1816837</v>
      </c>
      <c r="V8">
        <v>0.36107755000000002</v>
      </c>
      <c r="W8">
        <v>-1.9550225000000001</v>
      </c>
      <c r="X8">
        <v>2.6771775999999998</v>
      </c>
      <c r="Y8">
        <v>7</v>
      </c>
      <c r="Z8">
        <v>49</v>
      </c>
    </row>
    <row r="9" spans="1:26" x14ac:dyDescent="0.3">
      <c r="A9" s="53">
        <v>11131</v>
      </c>
      <c r="B9" s="53">
        <v>268</v>
      </c>
      <c r="C9" s="47" t="s">
        <v>12</v>
      </c>
      <c r="D9" s="47" t="s">
        <v>13</v>
      </c>
      <c r="E9" s="47" t="s">
        <v>15</v>
      </c>
      <c r="F9" s="47" t="s">
        <v>19</v>
      </c>
      <c r="G9" s="47" t="s">
        <v>16</v>
      </c>
      <c r="H9" s="48">
        <v>8.2089549999999997E-2</v>
      </c>
      <c r="I9" s="49">
        <f>Tabla4[[#This Row],[sedentarismo2]]*100</f>
        <v>8.2089549999999996</v>
      </c>
      <c r="J9" s="47">
        <v>8.7106846999999998</v>
      </c>
      <c r="K9" s="47">
        <v>12.158963999999999</v>
      </c>
      <c r="L9" s="47">
        <v>-2.7650269000000001</v>
      </c>
      <c r="M9" s="49">
        <v>5.9555924999999998</v>
      </c>
      <c r="N9" s="49">
        <v>6.9948712999999998</v>
      </c>
      <c r="O9" s="49">
        <v>5.0214910000000001</v>
      </c>
      <c r="P9" s="49">
        <v>6.6274956999999999</v>
      </c>
      <c r="Q9" s="49">
        <v>4.9088263000000003</v>
      </c>
      <c r="R9" s="49">
        <v>8.8494174000000001</v>
      </c>
      <c r="S9">
        <v>1.0052528000000001</v>
      </c>
      <c r="T9">
        <v>0.50341332000000005</v>
      </c>
      <c r="U9">
        <v>1.1242589999999999</v>
      </c>
      <c r="V9">
        <v>0.67190309999999998</v>
      </c>
      <c r="W9">
        <v>-1.5316445000000001</v>
      </c>
      <c r="X9">
        <v>2.8754507</v>
      </c>
      <c r="Y9">
        <v>8</v>
      </c>
      <c r="Z9">
        <v>55</v>
      </c>
    </row>
    <row r="10" spans="1:26" x14ac:dyDescent="0.3">
      <c r="A10" s="53">
        <v>13111</v>
      </c>
      <c r="B10" s="53">
        <v>62</v>
      </c>
      <c r="C10" s="47" t="s">
        <v>12</v>
      </c>
      <c r="D10" s="47" t="s">
        <v>22</v>
      </c>
      <c r="E10" s="47" t="s">
        <v>15</v>
      </c>
      <c r="F10" s="47" t="s">
        <v>14</v>
      </c>
      <c r="G10" s="47" t="s">
        <v>16</v>
      </c>
      <c r="H10" s="48">
        <v>3.2258059999999998E-2</v>
      </c>
      <c r="I10" s="49">
        <f>Tabla4[[#This Row],[sedentarismo2]]*100</f>
        <v>3.225806</v>
      </c>
      <c r="J10" s="47">
        <v>6.8830003</v>
      </c>
      <c r="K10" s="47">
        <v>12.158963999999999</v>
      </c>
      <c r="L10" s="47">
        <v>-2.5770868</v>
      </c>
      <c r="M10" s="49">
        <v>7.0445447000000003</v>
      </c>
      <c r="N10" s="49">
        <v>8.5841363000000008</v>
      </c>
      <c r="O10" s="49">
        <v>5.9108783999999996</v>
      </c>
      <c r="P10" s="49">
        <v>6.7181252999999996</v>
      </c>
      <c r="Q10" s="49">
        <v>4.7822279999999999</v>
      </c>
      <c r="R10" s="49">
        <v>9.2873759000000007</v>
      </c>
      <c r="S10">
        <v>1.1492724000000001</v>
      </c>
      <c r="T10">
        <v>0.68195351999999998</v>
      </c>
      <c r="U10">
        <v>1.3363711</v>
      </c>
      <c r="V10">
        <v>-0.32641935999999999</v>
      </c>
      <c r="W10">
        <v>-2.9457067000000001</v>
      </c>
      <c r="X10">
        <v>2.2928679999999999</v>
      </c>
      <c r="Y10">
        <v>9</v>
      </c>
      <c r="Z10">
        <v>29</v>
      </c>
    </row>
    <row r="11" spans="1:26" x14ac:dyDescent="0.3">
      <c r="A11" s="53">
        <v>11211</v>
      </c>
      <c r="B11" s="53">
        <v>168</v>
      </c>
      <c r="C11" s="47" t="s">
        <v>12</v>
      </c>
      <c r="D11" s="47" t="s">
        <v>13</v>
      </c>
      <c r="E11" s="47" t="s">
        <v>20</v>
      </c>
      <c r="F11" s="47" t="s">
        <v>14</v>
      </c>
      <c r="G11" s="47" t="s">
        <v>16</v>
      </c>
      <c r="H11" s="48">
        <v>9.5238100000000006E-2</v>
      </c>
      <c r="I11" s="49">
        <f>Tabla4[[#This Row],[sedentarismo2]]*100</f>
        <v>9.523810000000001</v>
      </c>
      <c r="J11" s="47">
        <v>9.9972667000000008</v>
      </c>
      <c r="K11" s="47">
        <v>12.158963999999999</v>
      </c>
      <c r="L11" s="47">
        <v>-2.5931025999999999</v>
      </c>
      <c r="M11" s="49">
        <v>6.9700901999999996</v>
      </c>
      <c r="N11" s="49">
        <v>8.2550586999999993</v>
      </c>
      <c r="O11" s="49">
        <v>5.8469183999999998</v>
      </c>
      <c r="P11" s="49">
        <v>7.5684845000000003</v>
      </c>
      <c r="Q11" s="49">
        <v>5.4772150000000002</v>
      </c>
      <c r="R11" s="49">
        <v>10.194770999999999</v>
      </c>
      <c r="S11">
        <v>1.2034581</v>
      </c>
      <c r="T11">
        <v>0.61432151000000002</v>
      </c>
      <c r="U11">
        <v>1.3511854999999999</v>
      </c>
      <c r="V11">
        <v>0.59839438</v>
      </c>
      <c r="W11">
        <v>-2.0499291999999998</v>
      </c>
      <c r="X11">
        <v>3.246718</v>
      </c>
      <c r="Y11">
        <v>10</v>
      </c>
      <c r="Z11">
        <v>53</v>
      </c>
    </row>
    <row r="12" spans="1:26" x14ac:dyDescent="0.3">
      <c r="A12" s="53">
        <v>12211</v>
      </c>
      <c r="B12" s="53">
        <v>147</v>
      </c>
      <c r="C12" s="47" t="s">
        <v>12</v>
      </c>
      <c r="D12" s="47" t="s">
        <v>21</v>
      </c>
      <c r="E12" s="47" t="s">
        <v>20</v>
      </c>
      <c r="F12" s="47" t="s">
        <v>14</v>
      </c>
      <c r="G12" s="47" t="s">
        <v>16</v>
      </c>
      <c r="H12" s="48">
        <v>8.8435369999999999E-2</v>
      </c>
      <c r="I12" s="49">
        <f>Tabla4[[#This Row],[sedentarismo2]]*100</f>
        <v>8.8435369999999995</v>
      </c>
      <c r="J12" s="47">
        <v>9.5183750000000007</v>
      </c>
      <c r="K12" s="47">
        <v>12.158963999999999</v>
      </c>
      <c r="L12" s="47">
        <v>-2.5445107999999999</v>
      </c>
      <c r="M12" s="49">
        <v>7.2864789999999999</v>
      </c>
      <c r="N12" s="49">
        <v>8.6667205000000003</v>
      </c>
      <c r="O12" s="49">
        <v>6.1620273000000001</v>
      </c>
      <c r="P12" s="49">
        <v>7.5917491999999998</v>
      </c>
      <c r="Q12" s="49">
        <v>5.4520178000000001</v>
      </c>
      <c r="R12" s="49">
        <v>10.369351</v>
      </c>
      <c r="S12">
        <v>1.2544217</v>
      </c>
      <c r="T12">
        <v>0.63895236</v>
      </c>
      <c r="U12">
        <v>1.4077762</v>
      </c>
      <c r="V12">
        <v>0.30527024000000003</v>
      </c>
      <c r="W12">
        <v>-2.4539711</v>
      </c>
      <c r="X12">
        <v>3.0645115999999999</v>
      </c>
      <c r="Y12">
        <v>11</v>
      </c>
      <c r="Z12">
        <v>46</v>
      </c>
    </row>
    <row r="13" spans="1:26" x14ac:dyDescent="0.3">
      <c r="A13" s="53">
        <v>21111</v>
      </c>
      <c r="B13" s="53">
        <v>67</v>
      </c>
      <c r="C13" s="47" t="s">
        <v>23</v>
      </c>
      <c r="D13" s="47" t="s">
        <v>13</v>
      </c>
      <c r="E13" s="47" t="s">
        <v>15</v>
      </c>
      <c r="F13" s="47" t="s">
        <v>14</v>
      </c>
      <c r="G13" s="47" t="s">
        <v>16</v>
      </c>
      <c r="H13" s="48">
        <v>4.4776120000000003E-2</v>
      </c>
      <c r="I13" s="49">
        <f>Tabla4[[#This Row],[sedentarismo2]]*100</f>
        <v>4.4776120000000006</v>
      </c>
      <c r="J13" s="47">
        <v>7.4230314999999996</v>
      </c>
      <c r="K13" s="47">
        <v>12.158963999999999</v>
      </c>
      <c r="L13" s="47">
        <v>-2.4283502000000001</v>
      </c>
      <c r="M13" s="49">
        <v>8.0952760000000001</v>
      </c>
      <c r="N13" s="49">
        <v>9.6709905999999997</v>
      </c>
      <c r="O13" s="49">
        <v>6.7784690000000003</v>
      </c>
      <c r="P13" s="49">
        <v>7.6799423999999998</v>
      </c>
      <c r="Q13" s="49">
        <v>5.5369798000000001</v>
      </c>
      <c r="R13" s="49">
        <v>10.876777000000001</v>
      </c>
      <c r="S13">
        <v>1.362193</v>
      </c>
      <c r="T13">
        <v>0.73788816999999995</v>
      </c>
      <c r="U13">
        <v>1.5492090999999999</v>
      </c>
      <c r="V13">
        <v>-0.41533358999999997</v>
      </c>
      <c r="W13">
        <v>-3.4517834000000001</v>
      </c>
      <c r="X13">
        <v>2.6211163000000002</v>
      </c>
      <c r="Y13">
        <v>12</v>
      </c>
      <c r="Z13">
        <v>26</v>
      </c>
    </row>
    <row r="14" spans="1:26" x14ac:dyDescent="0.3">
      <c r="A14" s="53">
        <v>22111</v>
      </c>
      <c r="B14" s="53">
        <v>77</v>
      </c>
      <c r="C14" s="47" t="s">
        <v>23</v>
      </c>
      <c r="D14" s="47" t="s">
        <v>21</v>
      </c>
      <c r="E14" s="47" t="s">
        <v>15</v>
      </c>
      <c r="F14" s="47" t="s">
        <v>14</v>
      </c>
      <c r="G14" s="47" t="s">
        <v>16</v>
      </c>
      <c r="H14" s="48">
        <v>2.5974029999999999E-2</v>
      </c>
      <c r="I14" s="49">
        <f>Tabla4[[#This Row],[sedentarismo2]]*100</f>
        <v>2.5974029999999999</v>
      </c>
      <c r="J14" s="47">
        <v>6.1265926000000004</v>
      </c>
      <c r="K14" s="47">
        <v>12.158963999999999</v>
      </c>
      <c r="L14" s="47">
        <v>-2.3797584000000001</v>
      </c>
      <c r="M14" s="49">
        <v>8.4395378000000001</v>
      </c>
      <c r="N14" s="49">
        <v>10.072858</v>
      </c>
      <c r="O14" s="49">
        <v>7.1125294999999999</v>
      </c>
      <c r="P14" s="49">
        <v>7.7348350999999997</v>
      </c>
      <c r="Q14" s="49">
        <v>5.4743320999999998</v>
      </c>
      <c r="R14" s="49">
        <v>10.661085999999999</v>
      </c>
      <c r="S14">
        <v>1.3231514</v>
      </c>
      <c r="T14">
        <v>0.75518576999999998</v>
      </c>
      <c r="U14">
        <v>1.5234943999999999</v>
      </c>
      <c r="V14">
        <v>-0.70470268000000003</v>
      </c>
      <c r="W14">
        <v>-3.6907516999999999</v>
      </c>
      <c r="X14">
        <v>2.2813463</v>
      </c>
      <c r="Y14">
        <v>13</v>
      </c>
      <c r="Z14">
        <v>20</v>
      </c>
    </row>
    <row r="15" spans="1:26" x14ac:dyDescent="0.3">
      <c r="A15" s="53">
        <v>12122</v>
      </c>
      <c r="B15" s="53">
        <v>230</v>
      </c>
      <c r="C15" s="47" t="s">
        <v>12</v>
      </c>
      <c r="D15" s="47" t="s">
        <v>21</v>
      </c>
      <c r="E15" s="47" t="s">
        <v>15</v>
      </c>
      <c r="F15" s="47" t="s">
        <v>18</v>
      </c>
      <c r="G15" s="47" t="s">
        <v>17</v>
      </c>
      <c r="H15" s="48">
        <v>7.8260869999999996E-2</v>
      </c>
      <c r="I15" s="49">
        <f>Tabla4[[#This Row],[sedentarismo2]]*100</f>
        <v>7.8260869999999993</v>
      </c>
      <c r="J15" s="47">
        <v>8.4607560999999993</v>
      </c>
      <c r="K15" s="47">
        <v>12.158963999999999</v>
      </c>
      <c r="L15" s="47">
        <v>-2.4561261999999999</v>
      </c>
      <c r="M15" s="49">
        <v>7.9138413999999999</v>
      </c>
      <c r="N15" s="49">
        <v>9.2150151999999999</v>
      </c>
      <c r="O15" s="49">
        <v>6.7361952</v>
      </c>
      <c r="P15" s="49">
        <v>7.8816448000000001</v>
      </c>
      <c r="Q15" s="49">
        <v>5.9408817000000003</v>
      </c>
      <c r="R15" s="49">
        <v>10.586857999999999</v>
      </c>
      <c r="S15">
        <v>1.1851982000000001</v>
      </c>
      <c r="T15">
        <v>0.63235204</v>
      </c>
      <c r="U15">
        <v>1.3433405</v>
      </c>
      <c r="V15">
        <v>-3.2196570000000001E-2</v>
      </c>
      <c r="W15">
        <v>-2.6651440000000002</v>
      </c>
      <c r="X15">
        <v>2.6007509</v>
      </c>
      <c r="Y15">
        <v>14</v>
      </c>
      <c r="Z15">
        <v>36</v>
      </c>
    </row>
    <row r="16" spans="1:26" x14ac:dyDescent="0.3">
      <c r="A16" s="53">
        <v>12132</v>
      </c>
      <c r="B16" s="53">
        <v>494</v>
      </c>
      <c r="C16" s="47" t="s">
        <v>12</v>
      </c>
      <c r="D16" s="47" t="s">
        <v>21</v>
      </c>
      <c r="E16" s="47" t="s">
        <v>15</v>
      </c>
      <c r="F16" s="47" t="s">
        <v>19</v>
      </c>
      <c r="G16" s="47" t="s">
        <v>17</v>
      </c>
      <c r="H16" s="48">
        <v>8.0971660000000001E-2</v>
      </c>
      <c r="I16" s="49">
        <f>Tabla4[[#This Row],[sedentarismo2]]*100</f>
        <v>8.0971659999999996</v>
      </c>
      <c r="J16" s="47">
        <v>8.3985555000000005</v>
      </c>
      <c r="K16" s="47">
        <v>12.158963999999999</v>
      </c>
      <c r="L16" s="47">
        <v>-2.4397679000000001</v>
      </c>
      <c r="M16" s="49">
        <v>8.0048075000000001</v>
      </c>
      <c r="N16" s="49">
        <v>9.2559083999999991</v>
      </c>
      <c r="O16" s="49">
        <v>6.9372872000000001</v>
      </c>
      <c r="P16" s="49">
        <v>8.1023464000000001</v>
      </c>
      <c r="Q16" s="49">
        <v>6.2665544999999998</v>
      </c>
      <c r="R16" s="49">
        <v>10.56296</v>
      </c>
      <c r="S16">
        <v>1.0960219</v>
      </c>
      <c r="T16">
        <v>0.59148502000000003</v>
      </c>
      <c r="U16">
        <v>1.2454391</v>
      </c>
      <c r="V16">
        <v>9.7538860000000005E-2</v>
      </c>
      <c r="W16">
        <v>-2.3435217000000002</v>
      </c>
      <c r="X16">
        <v>2.5385993999999998</v>
      </c>
      <c r="Y16">
        <v>15</v>
      </c>
      <c r="Z16">
        <v>42</v>
      </c>
    </row>
    <row r="17" spans="1:26" x14ac:dyDescent="0.3">
      <c r="A17" s="53">
        <v>11132</v>
      </c>
      <c r="B17" s="53">
        <v>541</v>
      </c>
      <c r="C17" s="47" t="s">
        <v>12</v>
      </c>
      <c r="D17" s="47" t="s">
        <v>13</v>
      </c>
      <c r="E17" s="47" t="s">
        <v>15</v>
      </c>
      <c r="F17" s="47" t="s">
        <v>19</v>
      </c>
      <c r="G17" s="47" t="s">
        <v>17</v>
      </c>
      <c r="H17" s="48">
        <v>8.6876159999999994E-2</v>
      </c>
      <c r="I17" s="49">
        <f>Tabla4[[#This Row],[sedentarismo2]]*100</f>
        <v>8.6876160000000002</v>
      </c>
      <c r="J17" s="47">
        <v>8.9188577000000002</v>
      </c>
      <c r="K17" s="47">
        <v>12.158963999999999</v>
      </c>
      <c r="L17" s="47">
        <v>-2.4883597000000002</v>
      </c>
      <c r="M17" s="49">
        <v>7.6864414999999999</v>
      </c>
      <c r="N17" s="49">
        <v>8.8143683999999993</v>
      </c>
      <c r="O17" s="49">
        <v>6.6406976000000002</v>
      </c>
      <c r="P17" s="49">
        <v>8.1736354000000002</v>
      </c>
      <c r="Q17" s="49">
        <v>6.2938796999999997</v>
      </c>
      <c r="R17" s="49">
        <v>10.583011000000001</v>
      </c>
      <c r="S17">
        <v>1.0941662000000001</v>
      </c>
      <c r="T17">
        <v>0.55450785000000002</v>
      </c>
      <c r="U17">
        <v>1.2266535000000001</v>
      </c>
      <c r="V17">
        <v>0.48719394999999999</v>
      </c>
      <c r="W17">
        <v>-1.9170468000000001</v>
      </c>
      <c r="X17">
        <v>2.8914347</v>
      </c>
      <c r="Y17">
        <v>16</v>
      </c>
      <c r="Z17">
        <v>52</v>
      </c>
    </row>
    <row r="18" spans="1:26" x14ac:dyDescent="0.3">
      <c r="A18" s="53">
        <v>13131</v>
      </c>
      <c r="B18" s="53">
        <v>225</v>
      </c>
      <c r="C18" s="47" t="s">
        <v>12</v>
      </c>
      <c r="D18" s="47" t="s">
        <v>22</v>
      </c>
      <c r="E18" s="47" t="s">
        <v>15</v>
      </c>
      <c r="F18" s="47" t="s">
        <v>19</v>
      </c>
      <c r="G18" s="47" t="s">
        <v>16</v>
      </c>
      <c r="H18" s="48">
        <v>6.6666669999999997E-2</v>
      </c>
      <c r="I18" s="49">
        <f>Tabla4[[#This Row],[sedentarismo2]]*100</f>
        <v>6.6666669999999995</v>
      </c>
      <c r="J18" s="47">
        <v>7.5209868999999996</v>
      </c>
      <c r="K18" s="47">
        <v>12.158963999999999</v>
      </c>
      <c r="L18" s="47">
        <v>-2.2691561</v>
      </c>
      <c r="M18" s="49">
        <v>9.4095220000000008</v>
      </c>
      <c r="N18" s="49">
        <v>10.985561000000001</v>
      </c>
      <c r="O18" s="49">
        <v>8.0076313999999993</v>
      </c>
      <c r="P18" s="49">
        <v>8.4776512000000004</v>
      </c>
      <c r="Q18" s="49">
        <v>6.3209384999999996</v>
      </c>
      <c r="R18" s="49">
        <v>11.350426000000001</v>
      </c>
      <c r="S18">
        <v>1.2830326000000001</v>
      </c>
      <c r="T18">
        <v>0.75967593</v>
      </c>
      <c r="U18">
        <v>1.4910668</v>
      </c>
      <c r="V18">
        <v>-0.9318708</v>
      </c>
      <c r="W18">
        <v>-3.8543617000000001</v>
      </c>
      <c r="X18">
        <v>1.9906200999999999</v>
      </c>
      <c r="Y18">
        <v>17</v>
      </c>
      <c r="Z18">
        <v>14</v>
      </c>
    </row>
    <row r="19" spans="1:26" x14ac:dyDescent="0.3">
      <c r="A19" s="53">
        <v>11122</v>
      </c>
      <c r="B19" s="53">
        <v>267</v>
      </c>
      <c r="C19" s="47" t="s">
        <v>12</v>
      </c>
      <c r="D19" s="47" t="s">
        <v>13</v>
      </c>
      <c r="E19" s="47" t="s">
        <v>15</v>
      </c>
      <c r="F19" s="47" t="s">
        <v>18</v>
      </c>
      <c r="G19" s="47" t="s">
        <v>17</v>
      </c>
      <c r="H19" s="48">
        <v>0.10112359999999999</v>
      </c>
      <c r="I19" s="49">
        <f>Tabla4[[#This Row],[sedentarismo2]]*100</f>
        <v>10.112359999999999</v>
      </c>
      <c r="J19" s="47">
        <v>10.35699</v>
      </c>
      <c r="K19" s="47">
        <v>12.158963999999999</v>
      </c>
      <c r="L19" s="47">
        <v>-2.504718</v>
      </c>
      <c r="M19" s="49">
        <v>7.5807856999999998</v>
      </c>
      <c r="N19" s="49">
        <v>8.8353648000000007</v>
      </c>
      <c r="O19" s="49">
        <v>6.4198807999999996</v>
      </c>
      <c r="P19" s="49">
        <v>8.4953792000000004</v>
      </c>
      <c r="Q19" s="49">
        <v>6.3118656</v>
      </c>
      <c r="R19" s="49">
        <v>11.251035999999999</v>
      </c>
      <c r="S19">
        <v>1.2599923</v>
      </c>
      <c r="T19">
        <v>0.61619489999999999</v>
      </c>
      <c r="U19">
        <v>1.4025965</v>
      </c>
      <c r="V19">
        <v>0.91459347999999996</v>
      </c>
      <c r="W19">
        <v>-1.8344955999999999</v>
      </c>
      <c r="X19">
        <v>3.6636825000000002</v>
      </c>
      <c r="Y19">
        <v>18</v>
      </c>
      <c r="Z19">
        <v>58</v>
      </c>
    </row>
    <row r="20" spans="1:26" x14ac:dyDescent="0.3">
      <c r="A20" s="53">
        <v>11221</v>
      </c>
      <c r="B20" s="53">
        <v>222</v>
      </c>
      <c r="C20" s="47" t="s">
        <v>12</v>
      </c>
      <c r="D20" s="47" t="s">
        <v>13</v>
      </c>
      <c r="E20" s="47" t="s">
        <v>20</v>
      </c>
      <c r="F20" s="47" t="s">
        <v>18</v>
      </c>
      <c r="G20" s="47" t="s">
        <v>16</v>
      </c>
      <c r="H20" s="48">
        <v>8.108108E-2</v>
      </c>
      <c r="I20" s="49">
        <f>Tabla4[[#This Row],[sedentarismo2]]*100</f>
        <v>8.1081079999999996</v>
      </c>
      <c r="J20" s="47">
        <v>8.7132702999999996</v>
      </c>
      <c r="K20" s="47">
        <v>12.158963999999999</v>
      </c>
      <c r="L20" s="47">
        <v>-2.3015302000000002</v>
      </c>
      <c r="M20" s="49">
        <v>9.1312396000000007</v>
      </c>
      <c r="N20" s="49">
        <v>10.668205</v>
      </c>
      <c r="O20" s="49">
        <v>7.7817017999999996</v>
      </c>
      <c r="P20" s="49">
        <v>8.7582090000000008</v>
      </c>
      <c r="Q20" s="49">
        <v>6.6499791999999998</v>
      </c>
      <c r="R20" s="49">
        <v>11.498716</v>
      </c>
      <c r="S20">
        <v>1.2369226</v>
      </c>
      <c r="T20">
        <v>0.73635276000000005</v>
      </c>
      <c r="U20">
        <v>1.4395114</v>
      </c>
      <c r="V20">
        <v>-0.37303059</v>
      </c>
      <c r="W20">
        <v>-3.1944729000000001</v>
      </c>
      <c r="X20">
        <v>2.4484116999999999</v>
      </c>
      <c r="Y20">
        <v>19</v>
      </c>
      <c r="Z20">
        <v>27</v>
      </c>
    </row>
    <row r="21" spans="1:26" x14ac:dyDescent="0.3">
      <c r="A21" s="53">
        <v>11212</v>
      </c>
      <c r="B21" s="53">
        <v>350</v>
      </c>
      <c r="C21" s="47" t="s">
        <v>12</v>
      </c>
      <c r="D21" s="47" t="s">
        <v>13</v>
      </c>
      <c r="E21" s="47" t="s">
        <v>20</v>
      </c>
      <c r="F21" s="47" t="s">
        <v>14</v>
      </c>
      <c r="G21" s="47" t="s">
        <v>17</v>
      </c>
      <c r="H21" s="48">
        <v>8.5714289999999999E-2</v>
      </c>
      <c r="I21" s="49">
        <f>Tabla4[[#This Row],[sedentarismo2]]*100</f>
        <v>8.5714290000000002</v>
      </c>
      <c r="J21" s="47">
        <v>8.9277349000000008</v>
      </c>
      <c r="K21" s="47">
        <v>12.158963999999999</v>
      </c>
      <c r="L21" s="47">
        <v>-2.3164354</v>
      </c>
      <c r="M21" s="49">
        <v>8.9858542000000003</v>
      </c>
      <c r="N21" s="49">
        <v>10.492613</v>
      </c>
      <c r="O21" s="49">
        <v>7.6886567000000001</v>
      </c>
      <c r="P21" s="49">
        <v>8.8512654000000008</v>
      </c>
      <c r="Q21" s="49">
        <v>6.6952151000000004</v>
      </c>
      <c r="R21" s="49">
        <v>11.579264999999999</v>
      </c>
      <c r="S21">
        <v>1.2459309999999999</v>
      </c>
      <c r="T21">
        <v>0.71529500999999995</v>
      </c>
      <c r="U21">
        <v>1.4366597000000001</v>
      </c>
      <c r="V21">
        <v>-0.13458877</v>
      </c>
      <c r="W21">
        <v>-2.9504418000000001</v>
      </c>
      <c r="X21">
        <v>2.6812642000000002</v>
      </c>
      <c r="Y21">
        <v>20</v>
      </c>
      <c r="Z21">
        <v>33</v>
      </c>
    </row>
    <row r="22" spans="1:26" x14ac:dyDescent="0.3">
      <c r="A22" s="53">
        <v>21121</v>
      </c>
      <c r="B22" s="53">
        <v>128</v>
      </c>
      <c r="C22" s="47" t="s">
        <v>23</v>
      </c>
      <c r="D22" s="47" t="s">
        <v>13</v>
      </c>
      <c r="E22" s="47" t="s">
        <v>15</v>
      </c>
      <c r="F22" s="47" t="s">
        <v>18</v>
      </c>
      <c r="G22" s="47" t="s">
        <v>16</v>
      </c>
      <c r="H22" s="48">
        <v>6.25E-2</v>
      </c>
      <c r="I22" s="49">
        <f>Tabla4[[#This Row],[sedentarismo2]]*100</f>
        <v>6.25</v>
      </c>
      <c r="J22" s="47">
        <v>7.6855760999999996</v>
      </c>
      <c r="K22" s="47">
        <v>12.158963999999999</v>
      </c>
      <c r="L22" s="47">
        <v>-2.1367777999999999</v>
      </c>
      <c r="M22" s="49">
        <v>10.598039</v>
      </c>
      <c r="N22" s="49">
        <v>12.344863</v>
      </c>
      <c r="O22" s="49">
        <v>9.0157000000000007</v>
      </c>
      <c r="P22" s="49">
        <v>9.4655243999999996</v>
      </c>
      <c r="Q22" s="49">
        <v>7.1179937999999998</v>
      </c>
      <c r="R22" s="49">
        <v>13.082159000000001</v>
      </c>
      <c r="S22">
        <v>1.5214706</v>
      </c>
      <c r="T22">
        <v>0.84927638999999999</v>
      </c>
      <c r="U22">
        <v>1.7424531999999999</v>
      </c>
      <c r="V22">
        <v>-1.1325145000000001</v>
      </c>
      <c r="W22">
        <v>-4.5477226999999996</v>
      </c>
      <c r="X22">
        <v>2.2826938000000001</v>
      </c>
      <c r="Y22">
        <v>21</v>
      </c>
      <c r="Z22">
        <v>9</v>
      </c>
    </row>
    <row r="23" spans="1:26" x14ac:dyDescent="0.3">
      <c r="A23" s="53">
        <v>13112</v>
      </c>
      <c r="B23" s="53">
        <v>201</v>
      </c>
      <c r="C23" s="47" t="s">
        <v>12</v>
      </c>
      <c r="D23" s="47" t="s">
        <v>22</v>
      </c>
      <c r="E23" s="47" t="s">
        <v>15</v>
      </c>
      <c r="F23" s="47" t="s">
        <v>14</v>
      </c>
      <c r="G23" s="47" t="s">
        <v>17</v>
      </c>
      <c r="H23" s="48">
        <v>0.10447761</v>
      </c>
      <c r="I23" s="49">
        <f>Tabla4[[#This Row],[sedentarismo2]]*100</f>
        <v>10.447761</v>
      </c>
      <c r="J23" s="47">
        <v>10.706089</v>
      </c>
      <c r="K23" s="47">
        <v>12.158963999999999</v>
      </c>
      <c r="L23" s="47">
        <v>-2.3004194999999998</v>
      </c>
      <c r="M23" s="49">
        <v>9.0914280000000005</v>
      </c>
      <c r="N23" s="49">
        <v>10.792230999999999</v>
      </c>
      <c r="O23" s="49">
        <v>7.7827647999999998</v>
      </c>
      <c r="P23" s="49">
        <v>9.5135544000000003</v>
      </c>
      <c r="Q23" s="49">
        <v>7.1433418</v>
      </c>
      <c r="R23" s="49">
        <v>12.592419</v>
      </c>
      <c r="S23">
        <v>1.3900706</v>
      </c>
      <c r="T23">
        <v>0.76772107999999994</v>
      </c>
      <c r="U23">
        <v>1.5879836000000001</v>
      </c>
      <c r="V23">
        <v>0.42212641000000001</v>
      </c>
      <c r="W23">
        <v>-2.6903215</v>
      </c>
      <c r="X23">
        <v>3.5345743000000001</v>
      </c>
      <c r="Y23">
        <v>22</v>
      </c>
      <c r="Z23">
        <v>50</v>
      </c>
    </row>
    <row r="24" spans="1:26" x14ac:dyDescent="0.3">
      <c r="A24" s="53">
        <v>13121</v>
      </c>
      <c r="B24" s="53">
        <v>107</v>
      </c>
      <c r="C24" s="47" t="s">
        <v>12</v>
      </c>
      <c r="D24" s="47" t="s">
        <v>22</v>
      </c>
      <c r="E24" s="47" t="s">
        <v>15</v>
      </c>
      <c r="F24" s="47" t="s">
        <v>18</v>
      </c>
      <c r="G24" s="47" t="s">
        <v>16</v>
      </c>
      <c r="H24" s="48">
        <v>0.11214953</v>
      </c>
      <c r="I24" s="49">
        <f>Tabla4[[#This Row],[sedentarismo2]]*100</f>
        <v>11.214953</v>
      </c>
      <c r="J24" s="47">
        <v>11.446282999999999</v>
      </c>
      <c r="K24" s="47">
        <v>12.158963999999999</v>
      </c>
      <c r="L24" s="47">
        <v>-2.2855143999999998</v>
      </c>
      <c r="M24" s="49">
        <v>9.2680670999999997</v>
      </c>
      <c r="N24" s="49">
        <v>10.953332</v>
      </c>
      <c r="O24" s="49">
        <v>7.8208697999999996</v>
      </c>
      <c r="P24" s="49">
        <v>9.5824648000000003</v>
      </c>
      <c r="Q24" s="49">
        <v>7.0354413999999998</v>
      </c>
      <c r="R24" s="49">
        <v>13.125885999999999</v>
      </c>
      <c r="S24">
        <v>1.5536848999999999</v>
      </c>
      <c r="T24">
        <v>0.79909744000000005</v>
      </c>
      <c r="U24">
        <v>1.7471387</v>
      </c>
      <c r="V24">
        <v>0.3143977</v>
      </c>
      <c r="W24">
        <v>-3.1099942</v>
      </c>
      <c r="X24">
        <v>3.7387895000000002</v>
      </c>
      <c r="Y24">
        <v>23</v>
      </c>
      <c r="Z24">
        <v>47</v>
      </c>
    </row>
    <row r="25" spans="1:26" x14ac:dyDescent="0.3">
      <c r="A25" s="53">
        <v>12231</v>
      </c>
      <c r="B25" s="53">
        <v>286</v>
      </c>
      <c r="C25" s="47" t="s">
        <v>12</v>
      </c>
      <c r="D25" s="47" t="s">
        <v>21</v>
      </c>
      <c r="E25" s="47" t="s">
        <v>20</v>
      </c>
      <c r="F25" s="47" t="s">
        <v>19</v>
      </c>
      <c r="G25" s="47" t="s">
        <v>16</v>
      </c>
      <c r="H25" s="48">
        <v>9.7902100000000006E-2</v>
      </c>
      <c r="I25" s="49">
        <f>Tabla4[[#This Row],[sedentarismo2]]*100</f>
        <v>9.7902100000000001</v>
      </c>
      <c r="J25" s="47">
        <v>10.059594000000001</v>
      </c>
      <c r="K25" s="47">
        <v>12.158963999999999</v>
      </c>
      <c r="L25" s="47">
        <v>-2.2365800999999998</v>
      </c>
      <c r="M25" s="49">
        <v>9.6716320000000007</v>
      </c>
      <c r="N25" s="49">
        <v>11.212078999999999</v>
      </c>
      <c r="O25" s="49">
        <v>8.3700039000000004</v>
      </c>
      <c r="P25" s="49">
        <v>9.7925027999999994</v>
      </c>
      <c r="Q25" s="49">
        <v>7.3077823000000004</v>
      </c>
      <c r="R25" s="49">
        <v>12.59266</v>
      </c>
      <c r="S25">
        <v>1.3481829999999999</v>
      </c>
      <c r="T25">
        <v>0.72501921999999996</v>
      </c>
      <c r="U25">
        <v>1.5307679000000001</v>
      </c>
      <c r="V25">
        <v>0.12087081</v>
      </c>
      <c r="W25">
        <v>-2.8794341999999999</v>
      </c>
      <c r="X25">
        <v>3.1211758999999999</v>
      </c>
      <c r="Y25">
        <v>24</v>
      </c>
      <c r="Z25">
        <v>43</v>
      </c>
    </row>
    <row r="26" spans="1:26" x14ac:dyDescent="0.3">
      <c r="A26" s="53">
        <v>13211</v>
      </c>
      <c r="B26" s="53">
        <v>142</v>
      </c>
      <c r="C26" s="47" t="s">
        <v>12</v>
      </c>
      <c r="D26" s="47" t="s">
        <v>22</v>
      </c>
      <c r="E26" s="47" t="s">
        <v>20</v>
      </c>
      <c r="F26" s="47" t="s">
        <v>14</v>
      </c>
      <c r="G26" s="47" t="s">
        <v>16</v>
      </c>
      <c r="H26" s="48">
        <v>6.3380279999999997E-2</v>
      </c>
      <c r="I26" s="49">
        <f>Tabla4[[#This Row],[sedentarismo2]]*100</f>
        <v>6.3380279999999996</v>
      </c>
      <c r="J26" s="47">
        <v>7.6462209000000003</v>
      </c>
      <c r="K26" s="47">
        <v>12.158963999999999</v>
      </c>
      <c r="L26" s="47">
        <v>-2.0972317999999999</v>
      </c>
      <c r="M26" s="49">
        <v>10.958812999999999</v>
      </c>
      <c r="N26" s="49">
        <v>12.873369</v>
      </c>
      <c r="O26" s="49">
        <v>9.3833921</v>
      </c>
      <c r="P26" s="49">
        <v>9.8209236999999998</v>
      </c>
      <c r="Q26" s="49">
        <v>7.3896230999999997</v>
      </c>
      <c r="R26" s="49">
        <v>13.084543999999999</v>
      </c>
      <c r="S26">
        <v>1.4527859000000001</v>
      </c>
      <c r="T26">
        <v>0.89030014000000002</v>
      </c>
      <c r="U26">
        <v>1.7038842000000001</v>
      </c>
      <c r="V26">
        <v>-1.1378895</v>
      </c>
      <c r="W26">
        <v>-4.4775024999999999</v>
      </c>
      <c r="X26">
        <v>2.2017234999999999</v>
      </c>
      <c r="Y26">
        <v>25</v>
      </c>
      <c r="Z26">
        <v>8</v>
      </c>
    </row>
    <row r="27" spans="1:26" x14ac:dyDescent="0.3">
      <c r="A27" s="53">
        <v>12212</v>
      </c>
      <c r="B27" s="53">
        <v>307</v>
      </c>
      <c r="C27" s="47" t="s">
        <v>12</v>
      </c>
      <c r="D27" s="47" t="s">
        <v>21</v>
      </c>
      <c r="E27" s="47" t="s">
        <v>20</v>
      </c>
      <c r="F27" s="47" t="s">
        <v>14</v>
      </c>
      <c r="G27" s="47" t="s">
        <v>17</v>
      </c>
      <c r="H27" s="48">
        <v>0.10423453000000001</v>
      </c>
      <c r="I27" s="49">
        <f>Tabla4[[#This Row],[sedentarismo2]]*100</f>
        <v>10.423453</v>
      </c>
      <c r="J27" s="47">
        <v>10.605078000000001</v>
      </c>
      <c r="K27" s="47">
        <v>12.158963999999999</v>
      </c>
      <c r="L27" s="47">
        <v>-2.2678436</v>
      </c>
      <c r="M27" s="49">
        <v>9.3693834999999996</v>
      </c>
      <c r="N27" s="49">
        <v>10.935129999999999</v>
      </c>
      <c r="O27" s="49">
        <v>7.9992947000000001</v>
      </c>
      <c r="P27" s="49">
        <v>9.8506657000000004</v>
      </c>
      <c r="Q27" s="49">
        <v>7.5860108000000004</v>
      </c>
      <c r="R27" s="49">
        <v>13.021685</v>
      </c>
      <c r="S27">
        <v>1.3866514999999999</v>
      </c>
      <c r="T27">
        <v>0.74893759999999998</v>
      </c>
      <c r="U27">
        <v>1.575979</v>
      </c>
      <c r="V27">
        <v>0.48128223999999997</v>
      </c>
      <c r="W27">
        <v>-2.6076366000000002</v>
      </c>
      <c r="X27">
        <v>3.5702010999999998</v>
      </c>
      <c r="Y27">
        <v>26</v>
      </c>
      <c r="Z27">
        <v>51</v>
      </c>
    </row>
    <row r="28" spans="1:26" x14ac:dyDescent="0.3">
      <c r="A28" s="53">
        <v>12222</v>
      </c>
      <c r="B28" s="53">
        <v>364</v>
      </c>
      <c r="C28" s="47" t="s">
        <v>12</v>
      </c>
      <c r="D28" s="47" t="s">
        <v>21</v>
      </c>
      <c r="E28" s="47" t="s">
        <v>20</v>
      </c>
      <c r="F28" s="47" t="s">
        <v>18</v>
      </c>
      <c r="G28" s="47" t="s">
        <v>17</v>
      </c>
      <c r="H28" s="48">
        <v>7.4175820000000003E-2</v>
      </c>
      <c r="I28" s="49">
        <f>Tabla4[[#This Row],[sedentarismo2]]*100</f>
        <v>7.4175820000000003</v>
      </c>
      <c r="J28" s="47">
        <v>7.8936362000000004</v>
      </c>
      <c r="K28" s="47">
        <v>12.158963999999999</v>
      </c>
      <c r="L28" s="47">
        <v>-1.9762712</v>
      </c>
      <c r="M28" s="49">
        <v>12.199016</v>
      </c>
      <c r="N28" s="49">
        <v>13.988201</v>
      </c>
      <c r="O28" s="49">
        <v>10.561225</v>
      </c>
      <c r="P28" s="49">
        <v>9.9160128000000007</v>
      </c>
      <c r="Q28" s="49">
        <v>7.6221031000000004</v>
      </c>
      <c r="R28" s="49">
        <v>12.838111</v>
      </c>
      <c r="S28">
        <v>1.3306142000000001</v>
      </c>
      <c r="T28">
        <v>0.87422838999999997</v>
      </c>
      <c r="U28">
        <v>1.5921084999999999</v>
      </c>
      <c r="V28">
        <v>-2.2830028000000002</v>
      </c>
      <c r="W28">
        <v>-5.4035354</v>
      </c>
      <c r="X28">
        <v>0.83752978</v>
      </c>
      <c r="Y28">
        <v>27</v>
      </c>
      <c r="Z28">
        <v>2</v>
      </c>
    </row>
    <row r="29" spans="1:26" x14ac:dyDescent="0.3">
      <c r="A29" s="53">
        <v>22121</v>
      </c>
      <c r="B29" s="53">
        <v>128</v>
      </c>
      <c r="C29" s="47" t="s">
        <v>23</v>
      </c>
      <c r="D29" s="47" t="s">
        <v>21</v>
      </c>
      <c r="E29" s="47" t="s">
        <v>15</v>
      </c>
      <c r="F29" s="47" t="s">
        <v>18</v>
      </c>
      <c r="G29" s="47" t="s">
        <v>16</v>
      </c>
      <c r="H29" s="48">
        <v>7.03125E-2</v>
      </c>
      <c r="I29" s="49">
        <f>Tabla4[[#This Row],[sedentarismo2]]*100</f>
        <v>7.03125</v>
      </c>
      <c r="J29" s="47">
        <v>8.2495594000000008</v>
      </c>
      <c r="K29" s="47">
        <v>12.158963999999999</v>
      </c>
      <c r="L29" s="47">
        <v>-2.0881859999999999</v>
      </c>
      <c r="M29" s="49">
        <v>10.984355000000001</v>
      </c>
      <c r="N29" s="49">
        <v>12.932846</v>
      </c>
      <c r="O29" s="49">
        <v>9.3854053999999998</v>
      </c>
      <c r="P29" s="49">
        <v>10.147627999999999</v>
      </c>
      <c r="Q29" s="49">
        <v>7.5637021999999998</v>
      </c>
      <c r="R29" s="49">
        <v>13.692921</v>
      </c>
      <c r="S29">
        <v>1.5635762</v>
      </c>
      <c r="T29">
        <v>0.90495923</v>
      </c>
      <c r="U29">
        <v>1.8065773000000001</v>
      </c>
      <c r="V29">
        <v>-0.83672723999999998</v>
      </c>
      <c r="W29">
        <v>-4.3776187999999996</v>
      </c>
      <c r="X29">
        <v>2.7041643</v>
      </c>
      <c r="Y29">
        <v>28</v>
      </c>
      <c r="Z29">
        <v>18</v>
      </c>
    </row>
    <row r="30" spans="1:26" x14ac:dyDescent="0.3">
      <c r="A30" s="53">
        <v>21112</v>
      </c>
      <c r="B30" s="53">
        <v>220</v>
      </c>
      <c r="C30" s="47" t="s">
        <v>23</v>
      </c>
      <c r="D30" s="47" t="s">
        <v>13</v>
      </c>
      <c r="E30" s="47" t="s">
        <v>15</v>
      </c>
      <c r="F30" s="47" t="s">
        <v>14</v>
      </c>
      <c r="G30" s="47" t="s">
        <v>17</v>
      </c>
      <c r="H30" s="48">
        <v>0.1</v>
      </c>
      <c r="I30" s="49">
        <f>Tabla4[[#This Row],[sedentarismo2]]*100</f>
        <v>10</v>
      </c>
      <c r="J30" s="47">
        <v>10.305944999999999</v>
      </c>
      <c r="K30" s="47">
        <v>12.158963999999999</v>
      </c>
      <c r="L30" s="47">
        <v>-2.1516829</v>
      </c>
      <c r="M30" s="49">
        <v>10.378513999999999</v>
      </c>
      <c r="N30" s="49">
        <v>12.144674</v>
      </c>
      <c r="O30" s="49">
        <v>8.8530221000000004</v>
      </c>
      <c r="P30" s="49">
        <v>10.309039</v>
      </c>
      <c r="Q30" s="49">
        <v>7.7065638999999999</v>
      </c>
      <c r="R30" s="49">
        <v>13.516667999999999</v>
      </c>
      <c r="S30">
        <v>1.4821694000000001</v>
      </c>
      <c r="T30">
        <v>0.83970703999999996</v>
      </c>
      <c r="U30">
        <v>1.7035064</v>
      </c>
      <c r="V30">
        <v>-6.9474549999999996E-2</v>
      </c>
      <c r="W30">
        <v>-3.4083470999999999</v>
      </c>
      <c r="X30">
        <v>3.2693979999999998</v>
      </c>
      <c r="Y30">
        <v>29</v>
      </c>
      <c r="Z30">
        <v>34</v>
      </c>
    </row>
    <row r="31" spans="1:26" x14ac:dyDescent="0.3">
      <c r="A31" s="53">
        <v>21131</v>
      </c>
      <c r="B31" s="53">
        <v>265</v>
      </c>
      <c r="C31" s="47" t="s">
        <v>23</v>
      </c>
      <c r="D31" s="47" t="s">
        <v>13</v>
      </c>
      <c r="E31" s="47" t="s">
        <v>15</v>
      </c>
      <c r="F31" s="47" t="s">
        <v>19</v>
      </c>
      <c r="G31" s="47" t="s">
        <v>16</v>
      </c>
      <c r="H31" s="48">
        <v>9.8113210000000006E-2</v>
      </c>
      <c r="I31" s="49">
        <f>Tabla4[[#This Row],[sedentarismo2]]*100</f>
        <v>9.8113210000000013</v>
      </c>
      <c r="J31" s="47">
        <v>10.096499</v>
      </c>
      <c r="K31" s="47">
        <v>12.158963999999999</v>
      </c>
      <c r="L31" s="47">
        <v>-2.1204195000000001</v>
      </c>
      <c r="M31" s="49">
        <v>10.731089000000001</v>
      </c>
      <c r="N31" s="49">
        <v>12.402269</v>
      </c>
      <c r="O31" s="49">
        <v>9.1972012999999997</v>
      </c>
      <c r="P31" s="49">
        <v>10.412127</v>
      </c>
      <c r="Q31" s="49">
        <v>7.8829902000000001</v>
      </c>
      <c r="R31" s="49">
        <v>13.708715</v>
      </c>
      <c r="S31">
        <v>1.4861542000000001</v>
      </c>
      <c r="T31">
        <v>0.81761919000000005</v>
      </c>
      <c r="U31">
        <v>1.696218</v>
      </c>
      <c r="V31">
        <v>-0.31896143999999998</v>
      </c>
      <c r="W31">
        <v>-3.6435485999999999</v>
      </c>
      <c r="X31">
        <v>3.0056257999999998</v>
      </c>
      <c r="Y31">
        <v>30</v>
      </c>
      <c r="Z31">
        <v>30</v>
      </c>
    </row>
    <row r="32" spans="1:26" x14ac:dyDescent="0.3">
      <c r="A32" s="53">
        <v>22131</v>
      </c>
      <c r="B32" s="53">
        <v>244</v>
      </c>
      <c r="C32" s="47" t="s">
        <v>23</v>
      </c>
      <c r="D32" s="47" t="s">
        <v>21</v>
      </c>
      <c r="E32" s="47" t="s">
        <v>15</v>
      </c>
      <c r="F32" s="47" t="s">
        <v>19</v>
      </c>
      <c r="G32" s="47" t="s">
        <v>16</v>
      </c>
      <c r="H32" s="48">
        <v>0.10245902</v>
      </c>
      <c r="I32" s="49">
        <f>Tabla4[[#This Row],[sedentarismo2]]*100</f>
        <v>10.245901999999999</v>
      </c>
      <c r="J32" s="47">
        <v>10.492150000000001</v>
      </c>
      <c r="K32" s="47">
        <v>12.158963999999999</v>
      </c>
      <c r="L32" s="47">
        <v>-2.0718277</v>
      </c>
      <c r="M32" s="49">
        <v>11.163741</v>
      </c>
      <c r="N32" s="49">
        <v>13.017187</v>
      </c>
      <c r="O32" s="49">
        <v>9.5519458999999998</v>
      </c>
      <c r="P32" s="49">
        <v>10.868124</v>
      </c>
      <c r="Q32" s="49">
        <v>8.2397650999999996</v>
      </c>
      <c r="R32" s="49">
        <v>14.213545</v>
      </c>
      <c r="S32">
        <v>1.5239236</v>
      </c>
      <c r="T32">
        <v>0.88399011999999999</v>
      </c>
      <c r="U32">
        <v>1.7617552000000001</v>
      </c>
      <c r="V32">
        <v>-0.29561703</v>
      </c>
      <c r="W32">
        <v>-3.7486573000000001</v>
      </c>
      <c r="X32">
        <v>3.1574232000000002</v>
      </c>
      <c r="Y32">
        <v>31</v>
      </c>
      <c r="Z32">
        <v>31</v>
      </c>
    </row>
    <row r="33" spans="1:26" x14ac:dyDescent="0.3">
      <c r="A33" s="53">
        <v>13132</v>
      </c>
      <c r="B33" s="53">
        <v>497</v>
      </c>
      <c r="C33" s="47" t="s">
        <v>12</v>
      </c>
      <c r="D33" s="47" t="s">
        <v>22</v>
      </c>
      <c r="E33" s="47" t="s">
        <v>15</v>
      </c>
      <c r="F33" s="47" t="s">
        <v>19</v>
      </c>
      <c r="G33" s="47" t="s">
        <v>17</v>
      </c>
      <c r="H33" s="48">
        <v>0.10462776999999999</v>
      </c>
      <c r="I33" s="49">
        <f>Tabla4[[#This Row],[sedentarismo2]]*100</f>
        <v>10.462776999999999</v>
      </c>
      <c r="J33" s="47">
        <v>10.577114999999999</v>
      </c>
      <c r="K33" s="47">
        <v>12.158963999999999</v>
      </c>
      <c r="L33" s="47">
        <v>-1.9924888000000001</v>
      </c>
      <c r="M33" s="49">
        <v>12.022542</v>
      </c>
      <c r="N33" s="49">
        <v>13.835319</v>
      </c>
      <c r="O33" s="49">
        <v>10.470288999999999</v>
      </c>
      <c r="P33" s="49">
        <v>11.166698999999999</v>
      </c>
      <c r="Q33" s="49">
        <v>8.8553035999999992</v>
      </c>
      <c r="R33" s="49">
        <v>13.805975</v>
      </c>
      <c r="S33">
        <v>1.2629262999999999</v>
      </c>
      <c r="T33">
        <v>0.85842624000000001</v>
      </c>
      <c r="U33">
        <v>1.5270489</v>
      </c>
      <c r="V33">
        <v>-0.85584271999999995</v>
      </c>
      <c r="W33">
        <v>-3.8488585999999998</v>
      </c>
      <c r="X33">
        <v>2.1371731999999999</v>
      </c>
      <c r="Y33">
        <v>32</v>
      </c>
      <c r="Z33">
        <v>16</v>
      </c>
    </row>
    <row r="34" spans="1:26" x14ac:dyDescent="0.3">
      <c r="A34" s="53">
        <v>21132</v>
      </c>
      <c r="B34" s="53">
        <v>514</v>
      </c>
      <c r="C34" s="47" t="s">
        <v>23</v>
      </c>
      <c r="D34" s="47" t="s">
        <v>13</v>
      </c>
      <c r="E34" s="47" t="s">
        <v>15</v>
      </c>
      <c r="F34" s="47" t="s">
        <v>19</v>
      </c>
      <c r="G34" s="47" t="s">
        <v>17</v>
      </c>
      <c r="H34" s="48">
        <v>9.5330739999999997E-2</v>
      </c>
      <c r="I34" s="49">
        <f>Tabla4[[#This Row],[sedentarismo2]]*100</f>
        <v>9.5330739999999992</v>
      </c>
      <c r="J34" s="47">
        <v>9.7105233000000002</v>
      </c>
      <c r="K34" s="47">
        <v>12.158963999999999</v>
      </c>
      <c r="L34" s="47">
        <v>-1.8437522</v>
      </c>
      <c r="M34" s="49">
        <v>13.673659000000001</v>
      </c>
      <c r="N34" s="49">
        <v>15.571351</v>
      </c>
      <c r="O34" s="49">
        <v>11.844972</v>
      </c>
      <c r="P34" s="49">
        <v>11.210591000000001</v>
      </c>
      <c r="Q34" s="49">
        <v>8.8069358999999992</v>
      </c>
      <c r="R34" s="49">
        <v>14.013044000000001</v>
      </c>
      <c r="S34">
        <v>1.3280886999999999</v>
      </c>
      <c r="T34">
        <v>0.95060705999999995</v>
      </c>
      <c r="U34">
        <v>1.6332401999999999</v>
      </c>
      <c r="V34">
        <v>-2.4630671999999998</v>
      </c>
      <c r="W34">
        <v>-5.6642178999999997</v>
      </c>
      <c r="X34">
        <v>0.73808348000000001</v>
      </c>
      <c r="Y34">
        <v>33</v>
      </c>
      <c r="Z34">
        <v>1</v>
      </c>
    </row>
    <row r="35" spans="1:26" x14ac:dyDescent="0.3">
      <c r="A35" s="53">
        <v>12232</v>
      </c>
      <c r="B35" s="53">
        <v>511</v>
      </c>
      <c r="C35" s="47" t="s">
        <v>12</v>
      </c>
      <c r="D35" s="47" t="s">
        <v>21</v>
      </c>
      <c r="E35" s="47" t="s">
        <v>20</v>
      </c>
      <c r="F35" s="47" t="s">
        <v>19</v>
      </c>
      <c r="G35" s="47" t="s">
        <v>17</v>
      </c>
      <c r="H35" s="48">
        <v>0.10567515</v>
      </c>
      <c r="I35" s="49">
        <f>Tabla4[[#This Row],[sedentarismo2]]*100</f>
        <v>10.567515</v>
      </c>
      <c r="J35" s="47">
        <v>10.671677000000001</v>
      </c>
      <c r="K35" s="47">
        <v>12.158963999999999</v>
      </c>
      <c r="L35" s="47">
        <v>-1.9599129</v>
      </c>
      <c r="M35" s="49">
        <v>12.355878000000001</v>
      </c>
      <c r="N35" s="49">
        <v>14.036754</v>
      </c>
      <c r="O35" s="49">
        <v>10.746791</v>
      </c>
      <c r="P35" s="49">
        <v>11.320282000000001</v>
      </c>
      <c r="Q35" s="49">
        <v>8.8670404000000005</v>
      </c>
      <c r="R35" s="49">
        <v>14.579472000000001</v>
      </c>
      <c r="S35">
        <v>1.4572529999999999</v>
      </c>
      <c r="T35">
        <v>0.83927629000000004</v>
      </c>
      <c r="U35">
        <v>1.6816572000000001</v>
      </c>
      <c r="V35">
        <v>-1.0355958000000001</v>
      </c>
      <c r="W35">
        <v>-4.3316439000000004</v>
      </c>
      <c r="X35">
        <v>2.2604524000000001</v>
      </c>
      <c r="Y35">
        <v>34</v>
      </c>
      <c r="Z35">
        <v>11</v>
      </c>
    </row>
    <row r="36" spans="1:26" x14ac:dyDescent="0.3">
      <c r="A36" s="53">
        <v>11231</v>
      </c>
      <c r="B36" s="53">
        <v>344</v>
      </c>
      <c r="C36" s="47" t="s">
        <v>12</v>
      </c>
      <c r="D36" s="47" t="s">
        <v>13</v>
      </c>
      <c r="E36" s="47" t="s">
        <v>20</v>
      </c>
      <c r="F36" s="47" t="s">
        <v>19</v>
      </c>
      <c r="G36" s="47" t="s">
        <v>16</v>
      </c>
      <c r="H36" s="48">
        <v>0.13953488</v>
      </c>
      <c r="I36" s="49">
        <f>Tabla4[[#This Row],[sedentarismo2]]*100</f>
        <v>13.953488</v>
      </c>
      <c r="J36" s="47">
        <v>13.800599999999999</v>
      </c>
      <c r="K36" s="47">
        <v>12.158963999999999</v>
      </c>
      <c r="L36" s="47">
        <v>-2.2851718999999999</v>
      </c>
      <c r="M36" s="49">
        <v>9.2861913000000005</v>
      </c>
      <c r="N36" s="49">
        <v>10.69035</v>
      </c>
      <c r="O36" s="49">
        <v>7.9963004</v>
      </c>
      <c r="P36" s="49">
        <v>11.367457</v>
      </c>
      <c r="Q36" s="49">
        <v>8.9721648999999992</v>
      </c>
      <c r="R36" s="49">
        <v>14.516220000000001</v>
      </c>
      <c r="S36">
        <v>1.4142998</v>
      </c>
      <c r="T36">
        <v>0.68725751999999996</v>
      </c>
      <c r="U36">
        <v>1.5724397999999999</v>
      </c>
      <c r="V36">
        <v>2.0812661000000001</v>
      </c>
      <c r="W36">
        <v>-1.0007159000000001</v>
      </c>
      <c r="X36">
        <v>5.1632480999999997</v>
      </c>
      <c r="Y36">
        <v>35</v>
      </c>
      <c r="Z36">
        <v>67</v>
      </c>
    </row>
    <row r="37" spans="1:26" x14ac:dyDescent="0.3">
      <c r="A37" s="53">
        <v>12221</v>
      </c>
      <c r="B37" s="53">
        <v>204</v>
      </c>
      <c r="C37" s="47" t="s">
        <v>12</v>
      </c>
      <c r="D37" s="47" t="s">
        <v>21</v>
      </c>
      <c r="E37" s="47" t="s">
        <v>20</v>
      </c>
      <c r="F37" s="47" t="s">
        <v>18</v>
      </c>
      <c r="G37" s="47" t="s">
        <v>16</v>
      </c>
      <c r="H37" s="48">
        <v>0.16176471000000001</v>
      </c>
      <c r="I37" s="49">
        <f>Tabla4[[#This Row],[sedentarismo2]]*100</f>
        <v>16.176470999999999</v>
      </c>
      <c r="J37" s="47">
        <v>15.656539</v>
      </c>
      <c r="K37" s="47">
        <v>12.158963999999999</v>
      </c>
      <c r="L37" s="47">
        <v>-2.2529385</v>
      </c>
      <c r="M37" s="49">
        <v>9.5713436999999999</v>
      </c>
      <c r="N37" s="49">
        <v>11.069281</v>
      </c>
      <c r="O37" s="49">
        <v>8.1552828999999996</v>
      </c>
      <c r="P37" s="49">
        <v>11.691592999999999</v>
      </c>
      <c r="Q37" s="49">
        <v>8.8642818000000005</v>
      </c>
      <c r="R37" s="49">
        <v>15.123684000000001</v>
      </c>
      <c r="S37">
        <v>1.5967864000000001</v>
      </c>
      <c r="T37">
        <v>0.74336674999999997</v>
      </c>
      <c r="U37">
        <v>1.7613406</v>
      </c>
      <c r="V37">
        <v>2.1202491000000001</v>
      </c>
      <c r="W37">
        <v>-1.3319785</v>
      </c>
      <c r="X37">
        <v>5.5724767000000002</v>
      </c>
      <c r="Y37">
        <v>36</v>
      </c>
      <c r="Z37">
        <v>68</v>
      </c>
    </row>
    <row r="38" spans="1:26" x14ac:dyDescent="0.3">
      <c r="A38" s="53">
        <v>13212</v>
      </c>
      <c r="B38" s="53">
        <v>347</v>
      </c>
      <c r="C38" s="47" t="s">
        <v>12</v>
      </c>
      <c r="D38" s="47" t="s">
        <v>22</v>
      </c>
      <c r="E38" s="47" t="s">
        <v>20</v>
      </c>
      <c r="F38" s="47" t="s">
        <v>14</v>
      </c>
      <c r="G38" s="47" t="s">
        <v>17</v>
      </c>
      <c r="H38" s="48">
        <v>9.2219019999999999E-2</v>
      </c>
      <c r="I38" s="49">
        <f>Tabla4[[#This Row],[sedentarismo2]]*100</f>
        <v>9.221902</v>
      </c>
      <c r="J38" s="47">
        <v>9.5089273999999993</v>
      </c>
      <c r="K38" s="47">
        <v>12.158963999999999</v>
      </c>
      <c r="L38" s="47">
        <v>-1.8205644999999999</v>
      </c>
      <c r="M38" s="49">
        <v>13.837334999999999</v>
      </c>
      <c r="N38" s="49">
        <v>15.996853</v>
      </c>
      <c r="O38" s="49">
        <v>12.126613000000001</v>
      </c>
      <c r="P38" s="49">
        <v>11.718140999999999</v>
      </c>
      <c r="Q38" s="49">
        <v>9.0909119</v>
      </c>
      <c r="R38" s="49">
        <v>14.929831999999999</v>
      </c>
      <c r="S38">
        <v>1.4895204</v>
      </c>
      <c r="T38">
        <v>0.98730591999999995</v>
      </c>
      <c r="U38">
        <v>1.787021</v>
      </c>
      <c r="V38">
        <v>-2.1191941999999999</v>
      </c>
      <c r="W38">
        <v>-5.6217553999999996</v>
      </c>
      <c r="X38">
        <v>1.383367</v>
      </c>
      <c r="Y38">
        <v>37</v>
      </c>
      <c r="Z38">
        <v>3</v>
      </c>
    </row>
    <row r="39" spans="1:26" x14ac:dyDescent="0.3">
      <c r="A39" s="53">
        <v>21211</v>
      </c>
      <c r="B39" s="53">
        <v>138</v>
      </c>
      <c r="C39" s="47" t="s">
        <v>23</v>
      </c>
      <c r="D39" s="47" t="s">
        <v>13</v>
      </c>
      <c r="E39" s="47" t="s">
        <v>20</v>
      </c>
      <c r="F39" s="47" t="s">
        <v>14</v>
      </c>
      <c r="G39" s="47" t="s">
        <v>16</v>
      </c>
      <c r="H39" s="48">
        <v>9.4202900000000006E-2</v>
      </c>
      <c r="I39" s="49">
        <f>Tabla4[[#This Row],[sedentarismo2]]*100</f>
        <v>9.4202900000000014</v>
      </c>
      <c r="J39" s="47">
        <v>9.9968064999999999</v>
      </c>
      <c r="K39" s="47">
        <v>12.158963999999999</v>
      </c>
      <c r="L39" s="47">
        <v>-1.9484952</v>
      </c>
      <c r="M39" s="49">
        <v>12.494854</v>
      </c>
      <c r="N39" s="49">
        <v>14.489742</v>
      </c>
      <c r="O39" s="49">
        <v>10.615079</v>
      </c>
      <c r="P39" s="49">
        <v>11.793384</v>
      </c>
      <c r="Q39" s="49">
        <v>8.7654318999999994</v>
      </c>
      <c r="R39" s="49">
        <v>15.303869000000001</v>
      </c>
      <c r="S39">
        <v>1.6679687999999999</v>
      </c>
      <c r="T39">
        <v>0.98843439</v>
      </c>
      <c r="U39">
        <v>1.9388456000000001</v>
      </c>
      <c r="V39">
        <v>-0.70146958999999998</v>
      </c>
      <c r="W39">
        <v>-4.5016069999999999</v>
      </c>
      <c r="X39">
        <v>3.0986677999999999</v>
      </c>
      <c r="Y39">
        <v>38</v>
      </c>
      <c r="Z39">
        <v>22</v>
      </c>
    </row>
    <row r="40" spans="1:26" x14ac:dyDescent="0.3">
      <c r="A40" s="53">
        <v>22112</v>
      </c>
      <c r="B40" s="53">
        <v>182</v>
      </c>
      <c r="C40" s="47" t="s">
        <v>23</v>
      </c>
      <c r="D40" s="47" t="s">
        <v>21</v>
      </c>
      <c r="E40" s="47" t="s">
        <v>15</v>
      </c>
      <c r="F40" s="47" t="s">
        <v>14</v>
      </c>
      <c r="G40" s="47" t="s">
        <v>17</v>
      </c>
      <c r="H40" s="48">
        <v>0.13736264000000001</v>
      </c>
      <c r="I40" s="49">
        <f>Tabla4[[#This Row],[sedentarismo2]]*100</f>
        <v>13.736264</v>
      </c>
      <c r="J40" s="47">
        <v>13.498237</v>
      </c>
      <c r="K40" s="47">
        <v>12.158963999999999</v>
      </c>
      <c r="L40" s="47">
        <v>-2.1030910999999999</v>
      </c>
      <c r="M40" s="49">
        <v>10.809136000000001</v>
      </c>
      <c r="N40" s="49">
        <v>12.67211</v>
      </c>
      <c r="O40" s="49">
        <v>9.2321720999999997</v>
      </c>
      <c r="P40" s="49">
        <v>11.940626</v>
      </c>
      <c r="Q40" s="49">
        <v>8.9056782000000005</v>
      </c>
      <c r="R40" s="49">
        <v>15.633099</v>
      </c>
      <c r="S40">
        <v>1.7161789000000001</v>
      </c>
      <c r="T40">
        <v>0.87753508000000002</v>
      </c>
      <c r="U40">
        <v>1.9275211999999999</v>
      </c>
      <c r="V40">
        <v>1.1314909</v>
      </c>
      <c r="W40">
        <v>-2.6464506000000001</v>
      </c>
      <c r="X40">
        <v>4.9094324</v>
      </c>
      <c r="Y40">
        <v>39</v>
      </c>
      <c r="Z40">
        <v>60</v>
      </c>
    </row>
    <row r="41" spans="1:26" x14ac:dyDescent="0.3">
      <c r="A41" s="53">
        <v>11232</v>
      </c>
      <c r="B41" s="53">
        <v>560</v>
      </c>
      <c r="C41" s="47" t="s">
        <v>12</v>
      </c>
      <c r="D41" s="47" t="s">
        <v>13</v>
      </c>
      <c r="E41" s="47" t="s">
        <v>20</v>
      </c>
      <c r="F41" s="47" t="s">
        <v>19</v>
      </c>
      <c r="G41" s="47" t="s">
        <v>17</v>
      </c>
      <c r="H41" s="48">
        <v>0.12321429</v>
      </c>
      <c r="I41" s="49">
        <f>Tabla4[[#This Row],[sedentarismo2]]*100</f>
        <v>12.321429</v>
      </c>
      <c r="J41" s="47">
        <v>12.312217</v>
      </c>
      <c r="K41" s="47">
        <v>12.158963999999999</v>
      </c>
      <c r="L41" s="47">
        <v>-2.0085047</v>
      </c>
      <c r="M41" s="49">
        <v>11.842178000000001</v>
      </c>
      <c r="N41" s="49">
        <v>13.514084</v>
      </c>
      <c r="O41" s="49">
        <v>10.334103000000001</v>
      </c>
      <c r="P41" s="49">
        <v>12.187317</v>
      </c>
      <c r="Q41" s="49">
        <v>9.6151549000000003</v>
      </c>
      <c r="R41" s="49">
        <v>15.064303000000001</v>
      </c>
      <c r="S41">
        <v>1.3900888</v>
      </c>
      <c r="T41">
        <v>0.81121957</v>
      </c>
      <c r="U41">
        <v>1.6094793999999999</v>
      </c>
      <c r="V41">
        <v>0.34513920999999997</v>
      </c>
      <c r="W41">
        <v>-2.8094405</v>
      </c>
      <c r="X41">
        <v>3.4997189</v>
      </c>
      <c r="Y41">
        <v>40</v>
      </c>
      <c r="Z41">
        <v>48</v>
      </c>
    </row>
    <row r="42" spans="1:26" x14ac:dyDescent="0.3">
      <c r="A42" s="53">
        <v>22211</v>
      </c>
      <c r="B42" s="53">
        <v>144</v>
      </c>
      <c r="C42" s="47" t="s">
        <v>23</v>
      </c>
      <c r="D42" s="47" t="s">
        <v>21</v>
      </c>
      <c r="E42" s="47" t="s">
        <v>20</v>
      </c>
      <c r="F42" s="47" t="s">
        <v>14</v>
      </c>
      <c r="G42" s="47" t="s">
        <v>16</v>
      </c>
      <c r="H42" s="48">
        <v>0.10416667</v>
      </c>
      <c r="I42" s="49">
        <f>Tabla4[[#This Row],[sedentarismo2]]*100</f>
        <v>10.416667</v>
      </c>
      <c r="J42" s="47">
        <v>10.762479000000001</v>
      </c>
      <c r="K42" s="47">
        <v>12.158963999999999</v>
      </c>
      <c r="L42" s="47">
        <v>-1.8999033999999999</v>
      </c>
      <c r="M42" s="49">
        <v>12.974532</v>
      </c>
      <c r="N42" s="49">
        <v>15.01516</v>
      </c>
      <c r="O42" s="49">
        <v>11.151248000000001</v>
      </c>
      <c r="P42" s="49">
        <v>12.267359000000001</v>
      </c>
      <c r="Q42" s="49">
        <v>9.3450678000000007</v>
      </c>
      <c r="R42" s="49">
        <v>16.385442999999999</v>
      </c>
      <c r="S42">
        <v>1.7960141000000001</v>
      </c>
      <c r="T42">
        <v>0.98569178999999996</v>
      </c>
      <c r="U42">
        <v>2.0487202999999998</v>
      </c>
      <c r="V42">
        <v>-0.70717331000000005</v>
      </c>
      <c r="W42">
        <v>-4.7226651000000004</v>
      </c>
      <c r="X42">
        <v>3.3083184000000001</v>
      </c>
      <c r="Y42">
        <v>41</v>
      </c>
      <c r="Z42">
        <v>19</v>
      </c>
    </row>
    <row r="43" spans="1:26" x14ac:dyDescent="0.3">
      <c r="A43" s="53">
        <v>21122</v>
      </c>
      <c r="B43" s="53">
        <v>307</v>
      </c>
      <c r="C43" s="47" t="s">
        <v>23</v>
      </c>
      <c r="D43" s="47" t="s">
        <v>13</v>
      </c>
      <c r="E43" s="47" t="s">
        <v>15</v>
      </c>
      <c r="F43" s="47" t="s">
        <v>18</v>
      </c>
      <c r="G43" s="47" t="s">
        <v>17</v>
      </c>
      <c r="H43" s="48">
        <v>0.11726383999999999</v>
      </c>
      <c r="I43" s="49">
        <f>Tabla4[[#This Row],[sedentarismo2]]*100</f>
        <v>11.726383999999999</v>
      </c>
      <c r="J43" s="47">
        <v>11.769878</v>
      </c>
      <c r="K43" s="47">
        <v>12.158963999999999</v>
      </c>
      <c r="L43" s="47">
        <v>-1.8601106000000001</v>
      </c>
      <c r="M43" s="49">
        <v>13.491628</v>
      </c>
      <c r="N43" s="49">
        <v>15.513284000000001</v>
      </c>
      <c r="O43" s="49">
        <v>11.651429</v>
      </c>
      <c r="P43" s="49">
        <v>12.626556000000001</v>
      </c>
      <c r="Q43" s="49">
        <v>9.9865894999999991</v>
      </c>
      <c r="R43" s="49">
        <v>16.438400999999999</v>
      </c>
      <c r="S43">
        <v>1.6458702000000001</v>
      </c>
      <c r="T43">
        <v>0.98516711999999995</v>
      </c>
      <c r="U43">
        <v>1.9181874000000001</v>
      </c>
      <c r="V43">
        <v>-0.86507228999999997</v>
      </c>
      <c r="W43">
        <v>-4.6247195999999997</v>
      </c>
      <c r="X43">
        <v>2.8945750000000001</v>
      </c>
      <c r="Y43">
        <v>42</v>
      </c>
      <c r="Z43">
        <v>15</v>
      </c>
    </row>
    <row r="44" spans="1:26" x14ac:dyDescent="0.3">
      <c r="A44" s="53">
        <v>13122</v>
      </c>
      <c r="B44" s="53">
        <v>273</v>
      </c>
      <c r="C44" s="47" t="s">
        <v>12</v>
      </c>
      <c r="D44" s="47" t="s">
        <v>22</v>
      </c>
      <c r="E44" s="47" t="s">
        <v>15</v>
      </c>
      <c r="F44" s="47" t="s">
        <v>18</v>
      </c>
      <c r="G44" s="47" t="s">
        <v>17</v>
      </c>
      <c r="H44" s="48">
        <v>0.14285713999999999</v>
      </c>
      <c r="I44" s="49">
        <f>Tabla4[[#This Row],[sedentarismo2]]*100</f>
        <v>14.285713999999999</v>
      </c>
      <c r="J44" s="47">
        <v>14.063983</v>
      </c>
      <c r="K44" s="47">
        <v>12.158963999999999</v>
      </c>
      <c r="L44" s="47">
        <v>-2.0088471999999999</v>
      </c>
      <c r="M44" s="49">
        <v>11.880314</v>
      </c>
      <c r="N44" s="49">
        <v>13.750563</v>
      </c>
      <c r="O44" s="49">
        <v>10.195807</v>
      </c>
      <c r="P44" s="49">
        <v>12.931559</v>
      </c>
      <c r="Q44" s="49">
        <v>9.8574856000000004</v>
      </c>
      <c r="R44" s="49">
        <v>16.471218</v>
      </c>
      <c r="S44">
        <v>1.6871765999999999</v>
      </c>
      <c r="T44">
        <v>0.90682567999999997</v>
      </c>
      <c r="U44">
        <v>1.9154367000000001</v>
      </c>
      <c r="V44">
        <v>1.0512446</v>
      </c>
      <c r="W44">
        <v>-2.7030113</v>
      </c>
      <c r="X44">
        <v>4.8055005</v>
      </c>
      <c r="Y44">
        <v>43</v>
      </c>
      <c r="Z44">
        <v>59</v>
      </c>
    </row>
    <row r="45" spans="1:26" x14ac:dyDescent="0.3">
      <c r="A45" s="53">
        <v>11222</v>
      </c>
      <c r="B45" s="53">
        <v>410</v>
      </c>
      <c r="C45" s="47" t="s">
        <v>12</v>
      </c>
      <c r="D45" s="47" t="s">
        <v>13</v>
      </c>
      <c r="E45" s="47" t="s">
        <v>20</v>
      </c>
      <c r="F45" s="47" t="s">
        <v>18</v>
      </c>
      <c r="G45" s="47" t="s">
        <v>17</v>
      </c>
      <c r="H45" s="48">
        <v>0.14146341000000001</v>
      </c>
      <c r="I45" s="49">
        <f>Tabla4[[#This Row],[sedentarismo2]]*100</f>
        <v>14.146341000000001</v>
      </c>
      <c r="J45" s="47">
        <v>14.003145999999999</v>
      </c>
      <c r="K45" s="47">
        <v>12.158963999999999</v>
      </c>
      <c r="L45" s="47">
        <v>-2.0248629999999999</v>
      </c>
      <c r="M45" s="49">
        <v>11.690934</v>
      </c>
      <c r="N45" s="49">
        <v>13.470863</v>
      </c>
      <c r="O45" s="49">
        <v>10.167559000000001</v>
      </c>
      <c r="P45" s="49">
        <v>13.03664</v>
      </c>
      <c r="Q45" s="49">
        <v>10.263911</v>
      </c>
      <c r="R45" s="49">
        <v>16.395707000000002</v>
      </c>
      <c r="S45">
        <v>1.5642336999999999</v>
      </c>
      <c r="T45">
        <v>0.84267963000000001</v>
      </c>
      <c r="U45">
        <v>1.7767767999999999</v>
      </c>
      <c r="V45">
        <v>1.3457059</v>
      </c>
      <c r="W45">
        <v>-2.1367767</v>
      </c>
      <c r="X45">
        <v>4.8281884000000002</v>
      </c>
      <c r="Y45">
        <v>44</v>
      </c>
      <c r="Z45">
        <v>61</v>
      </c>
    </row>
    <row r="46" spans="1:26" x14ac:dyDescent="0.3">
      <c r="A46" s="53">
        <v>13221</v>
      </c>
      <c r="B46" s="53">
        <v>192</v>
      </c>
      <c r="C46" s="47" t="s">
        <v>12</v>
      </c>
      <c r="D46" s="47" t="s">
        <v>22</v>
      </c>
      <c r="E46" s="47" t="s">
        <v>20</v>
      </c>
      <c r="F46" s="47" t="s">
        <v>18</v>
      </c>
      <c r="G46" s="47" t="s">
        <v>16</v>
      </c>
      <c r="H46" s="48">
        <v>0.11979167</v>
      </c>
      <c r="I46" s="49">
        <f>Tabla4[[#This Row],[sedentarismo2]]*100</f>
        <v>11.979167</v>
      </c>
      <c r="J46" s="47">
        <v>12.006233</v>
      </c>
      <c r="K46" s="47">
        <v>12.158963999999999</v>
      </c>
      <c r="L46" s="47">
        <v>-1.8056593999999999</v>
      </c>
      <c r="M46" s="49">
        <v>14.156364</v>
      </c>
      <c r="N46" s="49">
        <v>16.472073000000002</v>
      </c>
      <c r="O46" s="49">
        <v>12.30714</v>
      </c>
      <c r="P46" s="49">
        <v>13.135097</v>
      </c>
      <c r="Q46" s="49">
        <v>10.029589</v>
      </c>
      <c r="R46" s="49">
        <v>16.941604000000002</v>
      </c>
      <c r="S46">
        <v>1.7632691</v>
      </c>
      <c r="T46">
        <v>1.0624829</v>
      </c>
      <c r="U46">
        <v>2.0586373999999998</v>
      </c>
      <c r="V46">
        <v>-1.0212676999999999</v>
      </c>
      <c r="W46">
        <v>-5.0561970000000001</v>
      </c>
      <c r="X46">
        <v>3.0136615</v>
      </c>
      <c r="Y46">
        <v>45</v>
      </c>
      <c r="Z46">
        <v>12</v>
      </c>
    </row>
    <row r="47" spans="1:26" x14ac:dyDescent="0.3">
      <c r="A47" s="53">
        <v>13231</v>
      </c>
      <c r="B47" s="53">
        <v>225</v>
      </c>
      <c r="C47" s="47" t="s">
        <v>12</v>
      </c>
      <c r="D47" s="47" t="s">
        <v>22</v>
      </c>
      <c r="E47" s="47" t="s">
        <v>20</v>
      </c>
      <c r="F47" s="47" t="s">
        <v>19</v>
      </c>
      <c r="G47" s="47" t="s">
        <v>16</v>
      </c>
      <c r="H47" s="48">
        <v>0.12444444</v>
      </c>
      <c r="I47" s="49">
        <f>Tabla4[[#This Row],[sedentarismo2]]*100</f>
        <v>12.444444000000001</v>
      </c>
      <c r="J47" s="47">
        <v>12.407403</v>
      </c>
      <c r="K47" s="47">
        <v>12.158963999999999</v>
      </c>
      <c r="L47" s="47">
        <v>-1.7893011000000001</v>
      </c>
      <c r="M47" s="49">
        <v>14.319087</v>
      </c>
      <c r="N47" s="49">
        <v>16.445201999999998</v>
      </c>
      <c r="O47" s="49">
        <v>12.539516000000001</v>
      </c>
      <c r="P47" s="49">
        <v>13.47945</v>
      </c>
      <c r="Q47" s="49">
        <v>10.427894999999999</v>
      </c>
      <c r="R47" s="49">
        <v>17.261583000000002</v>
      </c>
      <c r="S47">
        <v>1.7432878000000001</v>
      </c>
      <c r="T47">
        <v>0.99634858999999998</v>
      </c>
      <c r="U47">
        <v>2.0079250000000002</v>
      </c>
      <c r="V47">
        <v>-0.83963717000000004</v>
      </c>
      <c r="W47">
        <v>-4.7751701999999998</v>
      </c>
      <c r="X47">
        <v>3.0958958000000001</v>
      </c>
      <c r="Y47">
        <v>46</v>
      </c>
      <c r="Z47">
        <v>17</v>
      </c>
    </row>
    <row r="48" spans="1:26" x14ac:dyDescent="0.3">
      <c r="A48" s="53">
        <v>22132</v>
      </c>
      <c r="B48" s="53">
        <v>418</v>
      </c>
      <c r="C48" s="47" t="s">
        <v>23</v>
      </c>
      <c r="D48" s="47" t="s">
        <v>21</v>
      </c>
      <c r="E48" s="47" t="s">
        <v>15</v>
      </c>
      <c r="F48" s="47" t="s">
        <v>19</v>
      </c>
      <c r="G48" s="47" t="s">
        <v>17</v>
      </c>
      <c r="H48" s="48">
        <v>0.13157895</v>
      </c>
      <c r="I48" s="49">
        <f>Tabla4[[#This Row],[sedentarismo2]]*100</f>
        <v>13.157895</v>
      </c>
      <c r="J48" s="47">
        <v>13.085243999999999</v>
      </c>
      <c r="K48" s="47">
        <v>12.158963999999999</v>
      </c>
      <c r="L48" s="47">
        <v>-1.7951604000000001</v>
      </c>
      <c r="M48" s="49">
        <v>14.225305000000001</v>
      </c>
      <c r="N48" s="49">
        <v>16.203354999999998</v>
      </c>
      <c r="O48" s="49">
        <v>12.252515000000001</v>
      </c>
      <c r="P48" s="49">
        <v>13.654778</v>
      </c>
      <c r="Q48" s="49">
        <v>10.761996999999999</v>
      </c>
      <c r="R48" s="49">
        <v>16.972562</v>
      </c>
      <c r="S48">
        <v>1.5843277</v>
      </c>
      <c r="T48">
        <v>1.0078672</v>
      </c>
      <c r="U48">
        <v>1.8777353999999999</v>
      </c>
      <c r="V48">
        <v>-0.57052670000000005</v>
      </c>
      <c r="W48">
        <v>-4.2508882000000003</v>
      </c>
      <c r="X48">
        <v>3.1098347999999998</v>
      </c>
      <c r="Y48">
        <v>47</v>
      </c>
      <c r="Z48">
        <v>24</v>
      </c>
    </row>
    <row r="49" spans="1:26" x14ac:dyDescent="0.3">
      <c r="A49" s="53">
        <v>22122</v>
      </c>
      <c r="B49" s="53">
        <v>232</v>
      </c>
      <c r="C49" s="47" t="s">
        <v>23</v>
      </c>
      <c r="D49" s="47" t="s">
        <v>21</v>
      </c>
      <c r="E49" s="47" t="s">
        <v>15</v>
      </c>
      <c r="F49" s="47" t="s">
        <v>18</v>
      </c>
      <c r="G49" s="47" t="s">
        <v>17</v>
      </c>
      <c r="H49" s="48">
        <v>0.13362068999999999</v>
      </c>
      <c r="I49" s="49">
        <f>Tabla4[[#This Row],[sedentarismo2]]*100</f>
        <v>13.362068999999998</v>
      </c>
      <c r="J49" s="47">
        <v>13.213654999999999</v>
      </c>
      <c r="K49" s="47">
        <v>12.158963999999999</v>
      </c>
      <c r="L49" s="47">
        <v>-1.8115188</v>
      </c>
      <c r="M49" s="49">
        <v>14.057646999999999</v>
      </c>
      <c r="N49" s="49">
        <v>16.092545999999999</v>
      </c>
      <c r="O49" s="49">
        <v>12.013076</v>
      </c>
      <c r="P49" s="49">
        <v>13.7181</v>
      </c>
      <c r="Q49" s="49">
        <v>10.627401000000001</v>
      </c>
      <c r="R49" s="49">
        <v>18.172550000000001</v>
      </c>
      <c r="S49">
        <v>1.9247829000000001</v>
      </c>
      <c r="T49">
        <v>1.0406812000000001</v>
      </c>
      <c r="U49">
        <v>2.1881056999999999</v>
      </c>
      <c r="V49">
        <v>-0.33954716000000001</v>
      </c>
      <c r="W49">
        <v>-4.6282342999999999</v>
      </c>
      <c r="X49">
        <v>3.9491399999999999</v>
      </c>
      <c r="Y49">
        <v>48</v>
      </c>
      <c r="Z49">
        <v>28</v>
      </c>
    </row>
    <row r="50" spans="1:26" x14ac:dyDescent="0.3">
      <c r="A50" s="53">
        <v>23111</v>
      </c>
      <c r="B50" s="53">
        <v>63</v>
      </c>
      <c r="C50" s="47" t="s">
        <v>23</v>
      </c>
      <c r="D50" s="47" t="s">
        <v>22</v>
      </c>
      <c r="E50" s="47" t="s">
        <v>15</v>
      </c>
      <c r="F50" s="47" t="s">
        <v>14</v>
      </c>
      <c r="G50" s="47" t="s">
        <v>16</v>
      </c>
      <c r="H50" s="48">
        <v>0.22222222</v>
      </c>
      <c r="I50" s="49">
        <f>Tabla4[[#This Row],[sedentarismo2]]*100</f>
        <v>22.222221999999999</v>
      </c>
      <c r="J50" s="47">
        <v>19.142997000000001</v>
      </c>
      <c r="K50" s="47">
        <v>12.158963999999999</v>
      </c>
      <c r="L50" s="47">
        <v>-1.9324793</v>
      </c>
      <c r="M50" s="49">
        <v>12.598587999999999</v>
      </c>
      <c r="N50" s="49">
        <v>14.926447</v>
      </c>
      <c r="O50" s="49">
        <v>10.654601</v>
      </c>
      <c r="P50" s="49">
        <v>14.37209</v>
      </c>
      <c r="Q50" s="49">
        <v>10.611302999999999</v>
      </c>
      <c r="R50" s="49">
        <v>19.231317000000001</v>
      </c>
      <c r="S50">
        <v>2.1989830000000001</v>
      </c>
      <c r="T50">
        <v>1.0897565</v>
      </c>
      <c r="U50">
        <v>2.4541995000000001</v>
      </c>
      <c r="V50">
        <v>1.7735021</v>
      </c>
      <c r="W50">
        <v>-3.0367289</v>
      </c>
      <c r="X50">
        <v>6.5837330999999999</v>
      </c>
      <c r="Y50">
        <v>49</v>
      </c>
      <c r="Z50">
        <v>63</v>
      </c>
    </row>
    <row r="51" spans="1:26" x14ac:dyDescent="0.3">
      <c r="A51" s="53">
        <v>23131</v>
      </c>
      <c r="B51" s="53">
        <v>222</v>
      </c>
      <c r="C51" s="47" t="s">
        <v>23</v>
      </c>
      <c r="D51" s="47" t="s">
        <v>22</v>
      </c>
      <c r="E51" s="47" t="s">
        <v>15</v>
      </c>
      <c r="F51" s="47" t="s">
        <v>19</v>
      </c>
      <c r="G51" s="47" t="s">
        <v>16</v>
      </c>
      <c r="H51" s="48">
        <v>0.13063063</v>
      </c>
      <c r="I51" s="49">
        <f>Tabla4[[#This Row],[sedentarismo2]]*100</f>
        <v>13.063063</v>
      </c>
      <c r="J51" s="47">
        <v>12.946256999999999</v>
      </c>
      <c r="K51" s="47">
        <v>12.158963999999999</v>
      </c>
      <c r="L51" s="47">
        <v>-1.6245486</v>
      </c>
      <c r="M51" s="49">
        <v>16.472321999999998</v>
      </c>
      <c r="N51" s="49">
        <v>18.891936999999999</v>
      </c>
      <c r="O51" s="49">
        <v>14.371568999999999</v>
      </c>
      <c r="P51" s="49">
        <v>14.953887999999999</v>
      </c>
      <c r="Q51" s="49">
        <v>11.639924000000001</v>
      </c>
      <c r="R51" s="49">
        <v>19.003409000000001</v>
      </c>
      <c r="S51">
        <v>1.8784400999999999</v>
      </c>
      <c r="T51">
        <v>1.1531551</v>
      </c>
      <c r="U51">
        <v>2.2041559999999998</v>
      </c>
      <c r="V51">
        <v>-1.5184331</v>
      </c>
      <c r="W51">
        <v>-5.8385788999999999</v>
      </c>
      <c r="X51">
        <v>2.8017126999999999</v>
      </c>
      <c r="Y51">
        <v>50</v>
      </c>
      <c r="Z51">
        <v>5</v>
      </c>
    </row>
    <row r="52" spans="1:26" x14ac:dyDescent="0.3">
      <c r="A52" s="53">
        <v>23121</v>
      </c>
      <c r="B52" s="53">
        <v>119</v>
      </c>
      <c r="C52" s="47" t="s">
        <v>23</v>
      </c>
      <c r="D52" s="47" t="s">
        <v>22</v>
      </c>
      <c r="E52" s="47" t="s">
        <v>15</v>
      </c>
      <c r="F52" s="47" t="s">
        <v>18</v>
      </c>
      <c r="G52" s="47" t="s">
        <v>16</v>
      </c>
      <c r="H52" s="48">
        <v>0.12605042</v>
      </c>
      <c r="I52" s="49">
        <f>Tabla4[[#This Row],[sedentarismo2]]*100</f>
        <v>12.605041999999999</v>
      </c>
      <c r="J52" s="47">
        <v>12.507208</v>
      </c>
      <c r="K52" s="47">
        <v>12.158963999999999</v>
      </c>
      <c r="L52" s="47">
        <v>-1.6409069000000001</v>
      </c>
      <c r="M52" s="49">
        <v>16.200710999999998</v>
      </c>
      <c r="N52" s="49">
        <v>18.830649999999999</v>
      </c>
      <c r="O52" s="49">
        <v>14.048232</v>
      </c>
      <c r="P52" s="49">
        <v>15.081549000000001</v>
      </c>
      <c r="Q52" s="49">
        <v>11.230264</v>
      </c>
      <c r="R52" s="49">
        <v>20.037704000000002</v>
      </c>
      <c r="S52">
        <v>2.2467959</v>
      </c>
      <c r="T52">
        <v>1.2200046</v>
      </c>
      <c r="U52">
        <v>2.5566586</v>
      </c>
      <c r="V52">
        <v>-1.1191614999999999</v>
      </c>
      <c r="W52">
        <v>-6.1302123000000002</v>
      </c>
      <c r="X52">
        <v>3.8918892999999999</v>
      </c>
      <c r="Y52">
        <v>51</v>
      </c>
      <c r="Z52">
        <v>10</v>
      </c>
    </row>
    <row r="53" spans="1:26" x14ac:dyDescent="0.3">
      <c r="A53" s="53">
        <v>21221</v>
      </c>
      <c r="B53" s="53">
        <v>221</v>
      </c>
      <c r="C53" s="47" t="s">
        <v>23</v>
      </c>
      <c r="D53" s="47" t="s">
        <v>13</v>
      </c>
      <c r="E53" s="47" t="s">
        <v>20</v>
      </c>
      <c r="F53" s="47" t="s">
        <v>18</v>
      </c>
      <c r="G53" s="47" t="s">
        <v>16</v>
      </c>
      <c r="H53" s="48">
        <v>0.16289592999999999</v>
      </c>
      <c r="I53" s="49">
        <f>Tabla4[[#This Row],[sedentarismo2]]*100</f>
        <v>16.289593</v>
      </c>
      <c r="J53" s="47">
        <v>15.792835</v>
      </c>
      <c r="K53" s="47">
        <v>12.158963999999999</v>
      </c>
      <c r="L53" s="47">
        <v>-1.6569228</v>
      </c>
      <c r="M53" s="49">
        <v>16.06935</v>
      </c>
      <c r="N53" s="49">
        <v>18.348405</v>
      </c>
      <c r="O53" s="49">
        <v>13.961665999999999</v>
      </c>
      <c r="P53" s="49">
        <v>16.144507999999998</v>
      </c>
      <c r="Q53" s="49">
        <v>12.720699</v>
      </c>
      <c r="R53" s="49">
        <v>20.623387999999998</v>
      </c>
      <c r="S53">
        <v>2.0159921999999999</v>
      </c>
      <c r="T53">
        <v>1.1190663000000001</v>
      </c>
      <c r="U53">
        <v>2.3057610999999998</v>
      </c>
      <c r="V53">
        <v>7.5157070000000006E-2</v>
      </c>
      <c r="W53">
        <v>-4.4441345999999999</v>
      </c>
      <c r="X53">
        <v>4.5944488000000003</v>
      </c>
      <c r="Y53">
        <v>52</v>
      </c>
      <c r="Z53">
        <v>41</v>
      </c>
    </row>
    <row r="54" spans="1:26" x14ac:dyDescent="0.3">
      <c r="A54" s="53">
        <v>22212</v>
      </c>
      <c r="B54" s="53">
        <v>308</v>
      </c>
      <c r="C54" s="47" t="s">
        <v>23</v>
      </c>
      <c r="D54" s="47" t="s">
        <v>21</v>
      </c>
      <c r="E54" s="47" t="s">
        <v>20</v>
      </c>
      <c r="F54" s="47" t="s">
        <v>14</v>
      </c>
      <c r="G54" s="47" t="s">
        <v>17</v>
      </c>
      <c r="H54" s="48">
        <v>0.15909091</v>
      </c>
      <c r="I54" s="49">
        <f>Tabla4[[#This Row],[sedentarismo2]]*100</f>
        <v>15.909091</v>
      </c>
      <c r="J54" s="47">
        <v>15.572229999999999</v>
      </c>
      <c r="K54" s="47">
        <v>12.158963999999999</v>
      </c>
      <c r="L54" s="47">
        <v>-1.6232361</v>
      </c>
      <c r="M54" s="49">
        <v>16.376878000000001</v>
      </c>
      <c r="N54" s="49">
        <v>18.811565999999999</v>
      </c>
      <c r="O54" s="49">
        <v>14.223305999999999</v>
      </c>
      <c r="P54" s="49">
        <v>16.343045</v>
      </c>
      <c r="Q54" s="49">
        <v>12.941234</v>
      </c>
      <c r="R54" s="49">
        <v>20.300704</v>
      </c>
      <c r="S54">
        <v>1.8774158000000001</v>
      </c>
      <c r="T54">
        <v>1.1704745000000001</v>
      </c>
      <c r="U54">
        <v>2.2123970000000002</v>
      </c>
      <c r="V54">
        <v>-3.3832960000000002E-2</v>
      </c>
      <c r="W54">
        <v>-4.3701311</v>
      </c>
      <c r="X54">
        <v>4.3024652000000003</v>
      </c>
      <c r="Y54">
        <v>53</v>
      </c>
      <c r="Z54">
        <v>35</v>
      </c>
    </row>
    <row r="55" spans="1:26" x14ac:dyDescent="0.3">
      <c r="A55" s="53">
        <v>21212</v>
      </c>
      <c r="B55" s="53">
        <v>338</v>
      </c>
      <c r="C55" s="47" t="s">
        <v>23</v>
      </c>
      <c r="D55" s="47" t="s">
        <v>13</v>
      </c>
      <c r="E55" s="47" t="s">
        <v>20</v>
      </c>
      <c r="F55" s="47" t="s">
        <v>14</v>
      </c>
      <c r="G55" s="47" t="s">
        <v>17</v>
      </c>
      <c r="H55" s="48">
        <v>0.17159763</v>
      </c>
      <c r="I55" s="49">
        <f>Tabla4[[#This Row],[sedentarismo2]]*100</f>
        <v>17.159763000000002</v>
      </c>
      <c r="J55" s="47">
        <v>16.759114</v>
      </c>
      <c r="K55" s="47">
        <v>12.158963999999999</v>
      </c>
      <c r="L55" s="47">
        <v>-1.6718279</v>
      </c>
      <c r="M55" s="49">
        <v>15.790354000000001</v>
      </c>
      <c r="N55" s="49">
        <v>18.234117000000001</v>
      </c>
      <c r="O55" s="49">
        <v>13.622427999999999</v>
      </c>
      <c r="P55" s="49">
        <v>16.588044</v>
      </c>
      <c r="Q55" s="49">
        <v>13.324294999999999</v>
      </c>
      <c r="R55" s="49">
        <v>20.640618</v>
      </c>
      <c r="S55">
        <v>1.8664088999999999</v>
      </c>
      <c r="T55">
        <v>1.1764513000000001</v>
      </c>
      <c r="U55">
        <v>2.2062455999999999</v>
      </c>
      <c r="V55">
        <v>0.79769023999999999</v>
      </c>
      <c r="W55">
        <v>-3.5265512000000001</v>
      </c>
      <c r="X55">
        <v>5.1219317000000002</v>
      </c>
      <c r="Y55">
        <v>54</v>
      </c>
      <c r="Z55">
        <v>57</v>
      </c>
    </row>
    <row r="56" spans="1:26" x14ac:dyDescent="0.3">
      <c r="A56" s="53">
        <v>13222</v>
      </c>
      <c r="B56" s="53">
        <v>377</v>
      </c>
      <c r="C56" s="47" t="s">
        <v>12</v>
      </c>
      <c r="D56" s="47" t="s">
        <v>22</v>
      </c>
      <c r="E56" s="47" t="s">
        <v>20</v>
      </c>
      <c r="F56" s="47" t="s">
        <v>18</v>
      </c>
      <c r="G56" s="47" t="s">
        <v>17</v>
      </c>
      <c r="H56" s="48">
        <v>0.15915119</v>
      </c>
      <c r="I56" s="49">
        <f>Tabla4[[#This Row],[sedentarismo2]]*100</f>
        <v>15.915119000000001</v>
      </c>
      <c r="J56" s="47">
        <v>15.635319000000001</v>
      </c>
      <c r="K56" s="47">
        <v>12.158963999999999</v>
      </c>
      <c r="L56" s="47">
        <v>-1.5289921</v>
      </c>
      <c r="M56" s="49">
        <v>17.872133999999999</v>
      </c>
      <c r="N56" s="49">
        <v>20.461693</v>
      </c>
      <c r="O56" s="49">
        <v>15.664884000000001</v>
      </c>
      <c r="P56" s="49">
        <v>16.591495999999999</v>
      </c>
      <c r="Q56" s="49">
        <v>13.362162</v>
      </c>
      <c r="R56" s="49">
        <v>20.736041</v>
      </c>
      <c r="S56">
        <v>1.8810917</v>
      </c>
      <c r="T56">
        <v>1.2236758999999999</v>
      </c>
      <c r="U56">
        <v>2.2440785999999999</v>
      </c>
      <c r="V56">
        <v>-1.2806384</v>
      </c>
      <c r="W56">
        <v>-5.6790323000000003</v>
      </c>
      <c r="X56">
        <v>3.1177556000000002</v>
      </c>
      <c r="Y56">
        <v>55</v>
      </c>
      <c r="Z56">
        <v>7</v>
      </c>
    </row>
    <row r="57" spans="1:26" x14ac:dyDescent="0.3">
      <c r="A57" s="53">
        <v>13232</v>
      </c>
      <c r="B57" s="53">
        <v>543</v>
      </c>
      <c r="C57" s="47" t="s">
        <v>12</v>
      </c>
      <c r="D57" s="47" t="s">
        <v>22</v>
      </c>
      <c r="E57" s="47" t="s">
        <v>20</v>
      </c>
      <c r="F57" s="47" t="s">
        <v>19</v>
      </c>
      <c r="G57" s="47" t="s">
        <v>17</v>
      </c>
      <c r="H57" s="48">
        <v>0.16022099000000001</v>
      </c>
      <c r="I57" s="49">
        <f>Tabla4[[#This Row],[sedentarismo2]]*100</f>
        <v>16.022099000000001</v>
      </c>
      <c r="J57" s="47">
        <v>15.818630000000001</v>
      </c>
      <c r="K57" s="47">
        <v>12.158963999999999</v>
      </c>
      <c r="L57" s="47">
        <v>-1.5126337999999999</v>
      </c>
      <c r="M57" s="49">
        <v>18.070404</v>
      </c>
      <c r="N57" s="49">
        <v>20.467638999999998</v>
      </c>
      <c r="O57" s="49">
        <v>16.038029000000002</v>
      </c>
      <c r="P57" s="49">
        <v>16.674778</v>
      </c>
      <c r="Q57" s="49">
        <v>13.328677000000001</v>
      </c>
      <c r="R57" s="49">
        <v>20.082972000000002</v>
      </c>
      <c r="S57">
        <v>1.7230344</v>
      </c>
      <c r="T57">
        <v>1.1300024</v>
      </c>
      <c r="U57">
        <v>2.0605224999999998</v>
      </c>
      <c r="V57">
        <v>-1.3956257000000001</v>
      </c>
      <c r="W57">
        <v>-5.4342497999999999</v>
      </c>
      <c r="X57">
        <v>2.6429982999999999</v>
      </c>
      <c r="Y57">
        <v>56</v>
      </c>
      <c r="Z57">
        <v>6</v>
      </c>
    </row>
    <row r="58" spans="1:26" x14ac:dyDescent="0.3">
      <c r="A58" s="53">
        <v>21231</v>
      </c>
      <c r="B58" s="53">
        <v>336</v>
      </c>
      <c r="C58" s="47" t="s">
        <v>23</v>
      </c>
      <c r="D58" s="47" t="s">
        <v>13</v>
      </c>
      <c r="E58" s="47" t="s">
        <v>20</v>
      </c>
      <c r="F58" s="47" t="s">
        <v>19</v>
      </c>
      <c r="G58" s="47" t="s">
        <v>16</v>
      </c>
      <c r="H58" s="48">
        <v>0.17559524000000001</v>
      </c>
      <c r="I58" s="49">
        <f>Tabla4[[#This Row],[sedentarismo2]]*100</f>
        <v>17.559524</v>
      </c>
      <c r="J58" s="47">
        <v>17.128271000000002</v>
      </c>
      <c r="K58" s="47">
        <v>12.158963999999999</v>
      </c>
      <c r="L58" s="47">
        <v>-1.6405645</v>
      </c>
      <c r="M58" s="49">
        <v>16.256461000000002</v>
      </c>
      <c r="N58" s="49">
        <v>18.408052999999999</v>
      </c>
      <c r="O58" s="49">
        <v>14.249425</v>
      </c>
      <c r="P58" s="49">
        <v>16.892308</v>
      </c>
      <c r="Q58" s="49">
        <v>13.605599</v>
      </c>
      <c r="R58" s="49">
        <v>21.099943</v>
      </c>
      <c r="S58">
        <v>1.9118227000000001</v>
      </c>
      <c r="T58">
        <v>1.0608744999999999</v>
      </c>
      <c r="U58">
        <v>2.1864401999999998</v>
      </c>
      <c r="V58">
        <v>0.63584719000000001</v>
      </c>
      <c r="W58">
        <v>-3.6495755000000001</v>
      </c>
      <c r="X58">
        <v>4.9212699000000004</v>
      </c>
      <c r="Y58">
        <v>57</v>
      </c>
      <c r="Z58">
        <v>54</v>
      </c>
    </row>
    <row r="59" spans="1:26" x14ac:dyDescent="0.3">
      <c r="A59" s="53">
        <v>21222</v>
      </c>
      <c r="B59" s="53">
        <v>399</v>
      </c>
      <c r="C59" s="47" t="s">
        <v>23</v>
      </c>
      <c r="D59" s="47" t="s">
        <v>13</v>
      </c>
      <c r="E59" s="47" t="s">
        <v>20</v>
      </c>
      <c r="F59" s="47" t="s">
        <v>18</v>
      </c>
      <c r="G59" s="47" t="s">
        <v>17</v>
      </c>
      <c r="H59" s="48">
        <v>0.17042607000000001</v>
      </c>
      <c r="I59" s="49">
        <f>Tabla4[[#This Row],[sedentarismo2]]*100</f>
        <v>17.042607</v>
      </c>
      <c r="J59" s="47">
        <v>16.706621999999999</v>
      </c>
      <c r="K59" s="47">
        <v>12.158963999999999</v>
      </c>
      <c r="L59" s="47">
        <v>-1.3802555000000001</v>
      </c>
      <c r="M59" s="49">
        <v>20.080518000000001</v>
      </c>
      <c r="N59" s="49">
        <v>22.728774000000001</v>
      </c>
      <c r="O59" s="49">
        <v>17.782965999999998</v>
      </c>
      <c r="P59" s="49">
        <v>18.275324000000001</v>
      </c>
      <c r="Q59" s="49">
        <v>14.777627000000001</v>
      </c>
      <c r="R59" s="49">
        <v>22.218782000000001</v>
      </c>
      <c r="S59">
        <v>1.8982540999999999</v>
      </c>
      <c r="T59">
        <v>1.2616856000000001</v>
      </c>
      <c r="U59">
        <v>2.2793022999999999</v>
      </c>
      <c r="V59">
        <v>-1.805194</v>
      </c>
      <c r="W59">
        <v>-6.2726265999999997</v>
      </c>
      <c r="X59">
        <v>2.6622385999999998</v>
      </c>
      <c r="Y59">
        <v>58</v>
      </c>
      <c r="Z59">
        <v>4</v>
      </c>
    </row>
    <row r="60" spans="1:26" x14ac:dyDescent="0.3">
      <c r="A60" s="53">
        <v>22221</v>
      </c>
      <c r="B60" s="53">
        <v>171</v>
      </c>
      <c r="C60" s="47" t="s">
        <v>23</v>
      </c>
      <c r="D60" s="47" t="s">
        <v>21</v>
      </c>
      <c r="E60" s="47" t="s">
        <v>20</v>
      </c>
      <c r="F60" s="47" t="s">
        <v>18</v>
      </c>
      <c r="G60" s="47" t="s">
        <v>16</v>
      </c>
      <c r="H60" s="48">
        <v>0.21052631999999999</v>
      </c>
      <c r="I60" s="49">
        <f>Tabla4[[#This Row],[sedentarismo2]]*100</f>
        <v>21.052631999999999</v>
      </c>
      <c r="J60" s="47">
        <v>19.826132000000001</v>
      </c>
      <c r="K60" s="47">
        <v>12.158963999999999</v>
      </c>
      <c r="L60" s="47">
        <v>-1.608331</v>
      </c>
      <c r="M60" s="49">
        <v>16.670545000000001</v>
      </c>
      <c r="N60" s="49">
        <v>19.174292999999999</v>
      </c>
      <c r="O60" s="49">
        <v>14.507949</v>
      </c>
      <c r="P60" s="49">
        <v>18.403649999999999</v>
      </c>
      <c r="Q60" s="49">
        <v>14.301871999999999</v>
      </c>
      <c r="R60" s="49">
        <v>22.916312999999999</v>
      </c>
      <c r="S60">
        <v>2.1975615999999998</v>
      </c>
      <c r="T60">
        <v>1.1903938000000001</v>
      </c>
      <c r="U60">
        <v>2.4992627000000001</v>
      </c>
      <c r="V60">
        <v>1.7331049000000001</v>
      </c>
      <c r="W60">
        <v>-3.1654499999999999</v>
      </c>
      <c r="X60">
        <v>6.6316598999999998</v>
      </c>
      <c r="Y60">
        <v>59</v>
      </c>
      <c r="Z60">
        <v>62</v>
      </c>
    </row>
    <row r="61" spans="1:26" x14ac:dyDescent="0.3">
      <c r="A61" s="53">
        <v>23211</v>
      </c>
      <c r="B61" s="53">
        <v>130</v>
      </c>
      <c r="C61" s="47" t="s">
        <v>23</v>
      </c>
      <c r="D61" s="47" t="s">
        <v>22</v>
      </c>
      <c r="E61" s="47" t="s">
        <v>20</v>
      </c>
      <c r="F61" s="47" t="s">
        <v>14</v>
      </c>
      <c r="G61" s="47" t="s">
        <v>16</v>
      </c>
      <c r="H61" s="48">
        <v>0.19230769</v>
      </c>
      <c r="I61" s="49">
        <f>Tabla4[[#This Row],[sedentarismo2]]*100</f>
        <v>19.230768999999999</v>
      </c>
      <c r="J61" s="47">
        <v>17.956861</v>
      </c>
      <c r="K61" s="47">
        <v>12.158963999999999</v>
      </c>
      <c r="L61" s="47">
        <v>-1.4526243000000001</v>
      </c>
      <c r="M61" s="49">
        <v>18.944786000000001</v>
      </c>
      <c r="N61" s="49">
        <v>21.619340000000001</v>
      </c>
      <c r="O61" s="49">
        <v>16.347386</v>
      </c>
      <c r="P61" s="49">
        <v>19.191061999999999</v>
      </c>
      <c r="Q61" s="49">
        <v>14.55805</v>
      </c>
      <c r="R61" s="49">
        <v>24.350048999999999</v>
      </c>
      <c r="S61">
        <v>2.4979589999999998</v>
      </c>
      <c r="T61">
        <v>1.3448861999999999</v>
      </c>
      <c r="U61">
        <v>2.8369909999999998</v>
      </c>
      <c r="V61">
        <v>0.24627667</v>
      </c>
      <c r="W61">
        <v>-5.3142256999999997</v>
      </c>
      <c r="X61">
        <v>5.8067789999999997</v>
      </c>
      <c r="Y61">
        <v>60</v>
      </c>
      <c r="Z61">
        <v>45</v>
      </c>
    </row>
    <row r="62" spans="1:26" x14ac:dyDescent="0.3">
      <c r="A62" s="53">
        <v>23112</v>
      </c>
      <c r="B62" s="53">
        <v>195</v>
      </c>
      <c r="C62" s="47" t="s">
        <v>23</v>
      </c>
      <c r="D62" s="47" t="s">
        <v>22</v>
      </c>
      <c r="E62" s="47" t="s">
        <v>15</v>
      </c>
      <c r="F62" s="47" t="s">
        <v>14</v>
      </c>
      <c r="G62" s="47" t="s">
        <v>17</v>
      </c>
      <c r="H62" s="48">
        <v>0.24102564000000001</v>
      </c>
      <c r="I62" s="49">
        <f>Tabla4[[#This Row],[sedentarismo2]]*100</f>
        <v>24.102564000000001</v>
      </c>
      <c r="J62" s="47">
        <v>22.707647000000001</v>
      </c>
      <c r="K62" s="47">
        <v>12.158963999999999</v>
      </c>
      <c r="L62" s="47">
        <v>-1.6558120999999999</v>
      </c>
      <c r="M62" s="49">
        <v>15.999090000000001</v>
      </c>
      <c r="N62" s="49">
        <v>18.395023999999999</v>
      </c>
      <c r="O62" s="49">
        <v>13.718337</v>
      </c>
      <c r="P62" s="49">
        <v>19.352138</v>
      </c>
      <c r="Q62" s="49">
        <v>15.240178</v>
      </c>
      <c r="R62" s="49">
        <v>24.390329999999999</v>
      </c>
      <c r="S62">
        <v>2.3342225999999999</v>
      </c>
      <c r="T62">
        <v>1.1930323</v>
      </c>
      <c r="U62">
        <v>2.621435</v>
      </c>
      <c r="V62">
        <v>3.3530483000000002</v>
      </c>
      <c r="W62">
        <v>-1.7849641999999999</v>
      </c>
      <c r="X62">
        <v>8.4910607999999996</v>
      </c>
      <c r="Y62">
        <v>61</v>
      </c>
      <c r="Z62">
        <v>71</v>
      </c>
    </row>
    <row r="63" spans="1:26" x14ac:dyDescent="0.3">
      <c r="A63" s="53">
        <v>21232</v>
      </c>
      <c r="B63" s="53">
        <v>544</v>
      </c>
      <c r="C63" s="47" t="s">
        <v>23</v>
      </c>
      <c r="D63" s="47" t="s">
        <v>13</v>
      </c>
      <c r="E63" s="47" t="s">
        <v>20</v>
      </c>
      <c r="F63" s="47" t="s">
        <v>19</v>
      </c>
      <c r="G63" s="47" t="s">
        <v>17</v>
      </c>
      <c r="H63" s="48">
        <v>0.19117646999999999</v>
      </c>
      <c r="I63" s="49">
        <f>Tabla4[[#This Row],[sedentarismo2]]*100</f>
        <v>19.117646999999998</v>
      </c>
      <c r="J63" s="47">
        <v>18.776878</v>
      </c>
      <c r="K63" s="47">
        <v>12.158963999999999</v>
      </c>
      <c r="L63" s="47">
        <v>-1.3638972</v>
      </c>
      <c r="M63" s="49">
        <v>20.397652000000001</v>
      </c>
      <c r="N63" s="49">
        <v>22.828365000000002</v>
      </c>
      <c r="O63" s="49">
        <v>17.811845000000002</v>
      </c>
      <c r="P63" s="49">
        <v>19.448038</v>
      </c>
      <c r="Q63" s="49">
        <v>16.121466000000002</v>
      </c>
      <c r="R63" s="49">
        <v>23.354113999999999</v>
      </c>
      <c r="S63">
        <v>1.8450632</v>
      </c>
      <c r="T63">
        <v>1.2797244999999999</v>
      </c>
      <c r="U63">
        <v>2.2454293999999999</v>
      </c>
      <c r="V63">
        <v>-0.94961382999999999</v>
      </c>
      <c r="W63">
        <v>-5.3506554</v>
      </c>
      <c r="X63">
        <v>3.4514277</v>
      </c>
      <c r="Y63">
        <v>62</v>
      </c>
      <c r="Z63">
        <v>13</v>
      </c>
    </row>
    <row r="64" spans="1:26" x14ac:dyDescent="0.3">
      <c r="A64" s="53">
        <v>22231</v>
      </c>
      <c r="B64" s="53">
        <v>282</v>
      </c>
      <c r="C64" s="47" t="s">
        <v>23</v>
      </c>
      <c r="D64" s="47" t="s">
        <v>21</v>
      </c>
      <c r="E64" s="47" t="s">
        <v>20</v>
      </c>
      <c r="F64" s="47" t="s">
        <v>19</v>
      </c>
      <c r="G64" s="47" t="s">
        <v>16</v>
      </c>
      <c r="H64" s="48">
        <v>0.22340425999999999</v>
      </c>
      <c r="I64" s="49">
        <f>Tabla4[[#This Row],[sedentarismo2]]*100</f>
        <v>22.340426000000001</v>
      </c>
      <c r="J64" s="47">
        <v>21.468187</v>
      </c>
      <c r="K64" s="47">
        <v>12.158963999999999</v>
      </c>
      <c r="L64" s="47">
        <v>-1.5919726999999999</v>
      </c>
      <c r="M64" s="49">
        <v>16.888154</v>
      </c>
      <c r="N64" s="49">
        <v>19.308700000000002</v>
      </c>
      <c r="O64" s="49">
        <v>14.684449000000001</v>
      </c>
      <c r="P64" s="49">
        <v>19.809851999999999</v>
      </c>
      <c r="Q64" s="49">
        <v>15.923325999999999</v>
      </c>
      <c r="R64" s="49">
        <v>24.257988000000001</v>
      </c>
      <c r="S64">
        <v>2.1261893000000001</v>
      </c>
      <c r="T64">
        <v>1.1796561000000001</v>
      </c>
      <c r="U64">
        <v>2.4315158000000001</v>
      </c>
      <c r="V64">
        <v>2.9216978</v>
      </c>
      <c r="W64">
        <v>-1.8440732</v>
      </c>
      <c r="X64">
        <v>7.6874688000000004</v>
      </c>
      <c r="Y64">
        <v>63</v>
      </c>
      <c r="Z64">
        <v>70</v>
      </c>
    </row>
    <row r="65" spans="1:26" x14ac:dyDescent="0.3">
      <c r="A65" s="53">
        <v>22222</v>
      </c>
      <c r="B65" s="53">
        <v>336</v>
      </c>
      <c r="C65" s="47" t="s">
        <v>23</v>
      </c>
      <c r="D65" s="47" t="s">
        <v>21</v>
      </c>
      <c r="E65" s="47" t="s">
        <v>20</v>
      </c>
      <c r="F65" s="47" t="s">
        <v>18</v>
      </c>
      <c r="G65" s="47" t="s">
        <v>17</v>
      </c>
      <c r="H65" s="48">
        <v>0.20535713999999999</v>
      </c>
      <c r="I65" s="49">
        <f>Tabla4[[#This Row],[sedentarismo2]]*100</f>
        <v>20.535713999999999</v>
      </c>
      <c r="J65" s="47">
        <v>19.906110000000002</v>
      </c>
      <c r="K65" s="47">
        <v>12.158963999999999</v>
      </c>
      <c r="L65" s="47">
        <v>-1.3316638000000001</v>
      </c>
      <c r="M65" s="49">
        <v>20.826426999999999</v>
      </c>
      <c r="N65" s="49">
        <v>23.540126000000001</v>
      </c>
      <c r="O65" s="49">
        <v>18.328258000000002</v>
      </c>
      <c r="P65" s="49">
        <v>20.628253999999998</v>
      </c>
      <c r="Q65" s="49">
        <v>16.546016000000002</v>
      </c>
      <c r="R65" s="49">
        <v>25.397116</v>
      </c>
      <c r="S65">
        <v>2.2579338</v>
      </c>
      <c r="T65">
        <v>1.3295581999999999</v>
      </c>
      <c r="U65">
        <v>2.6203034000000001</v>
      </c>
      <c r="V65">
        <v>-0.19817306000000001</v>
      </c>
      <c r="W65">
        <v>-5.3339676999999996</v>
      </c>
      <c r="X65">
        <v>4.9376215999999999</v>
      </c>
      <c r="Y65">
        <v>64</v>
      </c>
      <c r="Z65">
        <v>32</v>
      </c>
    </row>
    <row r="66" spans="1:26" x14ac:dyDescent="0.3">
      <c r="A66" s="53">
        <v>22232</v>
      </c>
      <c r="B66" s="53">
        <v>472</v>
      </c>
      <c r="C66" s="47" t="s">
        <v>23</v>
      </c>
      <c r="D66" s="47" t="s">
        <v>21</v>
      </c>
      <c r="E66" s="47" t="s">
        <v>20</v>
      </c>
      <c r="F66" s="47" t="s">
        <v>19</v>
      </c>
      <c r="G66" s="47" t="s">
        <v>17</v>
      </c>
      <c r="H66" s="48">
        <v>0.21186441</v>
      </c>
      <c r="I66" s="49">
        <f>Tabla4[[#This Row],[sedentarismo2]]*100</f>
        <v>21.186441000000002</v>
      </c>
      <c r="J66" s="47">
        <v>20.700642999999999</v>
      </c>
      <c r="K66" s="47">
        <v>12.158963999999999</v>
      </c>
      <c r="L66" s="47">
        <v>-1.3153054</v>
      </c>
      <c r="M66" s="49">
        <v>21.115113999999998</v>
      </c>
      <c r="N66" s="49">
        <v>23.914110000000001</v>
      </c>
      <c r="O66" s="49">
        <v>18.465823</v>
      </c>
      <c r="P66" s="49">
        <v>21.312279</v>
      </c>
      <c r="Q66" s="49">
        <v>17.285755000000002</v>
      </c>
      <c r="R66" s="49">
        <v>25.635037000000001</v>
      </c>
      <c r="S66">
        <v>2.1299188999999998</v>
      </c>
      <c r="T66">
        <v>1.3898691000000001</v>
      </c>
      <c r="U66">
        <v>2.5432834</v>
      </c>
      <c r="V66">
        <v>0.19716494000000001</v>
      </c>
      <c r="W66">
        <v>-4.7876706000000002</v>
      </c>
      <c r="X66">
        <v>5.1820005</v>
      </c>
      <c r="Y66">
        <v>65</v>
      </c>
      <c r="Z66">
        <v>44</v>
      </c>
    </row>
    <row r="67" spans="1:26" x14ac:dyDescent="0.3">
      <c r="A67" s="53">
        <v>23132</v>
      </c>
      <c r="B67" s="53">
        <v>470</v>
      </c>
      <c r="C67" s="47" t="s">
        <v>23</v>
      </c>
      <c r="D67" s="47" t="s">
        <v>22</v>
      </c>
      <c r="E67" s="47" t="s">
        <v>15</v>
      </c>
      <c r="F67" s="47" t="s">
        <v>19</v>
      </c>
      <c r="G67" s="47" t="s">
        <v>17</v>
      </c>
      <c r="H67" s="48">
        <v>0.23404254999999999</v>
      </c>
      <c r="I67" s="49">
        <f>Tabla4[[#This Row],[sedentarismo2]]*100</f>
        <v>23.404254999999999</v>
      </c>
      <c r="J67" s="47">
        <v>22.820574000000001</v>
      </c>
      <c r="K67" s="47">
        <v>12.158963999999999</v>
      </c>
      <c r="L67" s="47">
        <v>-1.3478813999999999</v>
      </c>
      <c r="M67" s="49">
        <v>20.602447999999999</v>
      </c>
      <c r="N67" s="49">
        <v>23.188357</v>
      </c>
      <c r="O67" s="49">
        <v>18.148164000000001</v>
      </c>
      <c r="P67" s="49">
        <v>22.50386</v>
      </c>
      <c r="Q67" s="49">
        <v>18.552882</v>
      </c>
      <c r="R67" s="49">
        <v>26.363054999999999</v>
      </c>
      <c r="S67">
        <v>1.9923911000000001</v>
      </c>
      <c r="T67">
        <v>1.2857634</v>
      </c>
      <c r="U67">
        <v>2.3712464999999998</v>
      </c>
      <c r="V67">
        <v>1.9014119</v>
      </c>
      <c r="W67">
        <v>-2.7462312999999998</v>
      </c>
      <c r="X67">
        <v>6.5490551000000004</v>
      </c>
      <c r="Y67">
        <v>66</v>
      </c>
      <c r="Z67">
        <v>64</v>
      </c>
    </row>
    <row r="68" spans="1:26" x14ac:dyDescent="0.3">
      <c r="A68" s="53">
        <v>23212</v>
      </c>
      <c r="B68" s="53">
        <v>314</v>
      </c>
      <c r="C68" s="47" t="s">
        <v>23</v>
      </c>
      <c r="D68" s="47" t="s">
        <v>22</v>
      </c>
      <c r="E68" s="47" t="s">
        <v>20</v>
      </c>
      <c r="F68" s="47" t="s">
        <v>14</v>
      </c>
      <c r="G68" s="47" t="s">
        <v>17</v>
      </c>
      <c r="H68" s="48">
        <v>0.22292993999999999</v>
      </c>
      <c r="I68" s="49">
        <f>Tabla4[[#This Row],[sedentarismo2]]*100</f>
        <v>22.292994</v>
      </c>
      <c r="J68" s="47">
        <v>21.506997999999999</v>
      </c>
      <c r="K68" s="47">
        <v>12.158963999999999</v>
      </c>
      <c r="L68" s="47">
        <v>-1.1759571</v>
      </c>
      <c r="M68" s="49">
        <v>23.580622999999999</v>
      </c>
      <c r="N68" s="49">
        <v>26.501263999999999</v>
      </c>
      <c r="O68" s="49">
        <v>20.603107999999999</v>
      </c>
      <c r="P68" s="49">
        <v>22.876822000000001</v>
      </c>
      <c r="Q68" s="49">
        <v>18.385513</v>
      </c>
      <c r="R68" s="49">
        <v>27.593903000000001</v>
      </c>
      <c r="S68">
        <v>2.3490791</v>
      </c>
      <c r="T68">
        <v>1.5046316</v>
      </c>
      <c r="U68">
        <v>2.7896396000000001</v>
      </c>
      <c r="V68">
        <v>-0.7038008</v>
      </c>
      <c r="W68">
        <v>-6.1714944000000003</v>
      </c>
      <c r="X68">
        <v>4.7638927999999998</v>
      </c>
      <c r="Y68">
        <v>67</v>
      </c>
      <c r="Z68">
        <v>21</v>
      </c>
    </row>
    <row r="69" spans="1:26" x14ac:dyDescent="0.3">
      <c r="A69" s="55">
        <v>23221</v>
      </c>
      <c r="B69" s="55">
        <v>157</v>
      </c>
      <c r="C69" s="2" t="s">
        <v>23</v>
      </c>
      <c r="D69" s="2" t="s">
        <v>22</v>
      </c>
      <c r="E69" s="2" t="s">
        <v>20</v>
      </c>
      <c r="F69" s="2" t="s">
        <v>18</v>
      </c>
      <c r="G69" s="2" t="s">
        <v>16</v>
      </c>
      <c r="H69" s="46">
        <v>0.22929936000000001</v>
      </c>
      <c r="I69" s="30">
        <f>Tabla4[[#This Row],[sedentarismo2]]*100</f>
        <v>22.929936000000001</v>
      </c>
      <c r="J69" s="2">
        <v>21.375867</v>
      </c>
      <c r="K69" s="2">
        <v>12.158963999999999</v>
      </c>
      <c r="L69" s="2">
        <v>-1.1610518999999999</v>
      </c>
      <c r="M69" s="30">
        <v>23.820594</v>
      </c>
      <c r="N69" s="30">
        <v>27.079501</v>
      </c>
      <c r="O69" s="30">
        <v>21.080642999999998</v>
      </c>
      <c r="P69" s="30">
        <v>23.291615</v>
      </c>
      <c r="Q69" s="30">
        <v>18.896284999999999</v>
      </c>
      <c r="R69" s="30">
        <v>28.938434000000001</v>
      </c>
      <c r="S69" s="2">
        <v>2.5617728</v>
      </c>
      <c r="T69" s="2">
        <v>1.5303209</v>
      </c>
      <c r="U69" s="2">
        <v>2.9840513</v>
      </c>
      <c r="V69" s="2">
        <v>-0.52897908000000005</v>
      </c>
      <c r="W69" s="2">
        <v>-6.3777195999999998</v>
      </c>
      <c r="X69" s="2">
        <v>5.3197614</v>
      </c>
      <c r="Y69" s="2">
        <v>68</v>
      </c>
      <c r="Z69">
        <v>25</v>
      </c>
    </row>
    <row r="70" spans="1:26" x14ac:dyDescent="0.3">
      <c r="A70" s="55">
        <v>23122</v>
      </c>
      <c r="B70" s="55">
        <v>246</v>
      </c>
      <c r="C70" s="2" t="s">
        <v>23</v>
      </c>
      <c r="D70" s="2" t="s">
        <v>22</v>
      </c>
      <c r="E70" s="2" t="s">
        <v>15</v>
      </c>
      <c r="F70" s="2" t="s">
        <v>18</v>
      </c>
      <c r="G70" s="2" t="s">
        <v>17</v>
      </c>
      <c r="H70" s="46">
        <v>0.27642275999999999</v>
      </c>
      <c r="I70" s="30">
        <f>Tabla4[[#This Row],[sedentarismo2]]*100</f>
        <v>27.642275999999999</v>
      </c>
      <c r="J70" s="2">
        <v>26.254301999999999</v>
      </c>
      <c r="K70" s="2">
        <v>12.158963999999999</v>
      </c>
      <c r="L70" s="2">
        <v>-1.3642396999999999</v>
      </c>
      <c r="M70" s="30">
        <v>20.337537000000001</v>
      </c>
      <c r="N70" s="30">
        <v>23.148368000000001</v>
      </c>
      <c r="O70" s="30">
        <v>17.841595000000002</v>
      </c>
      <c r="P70" s="30">
        <v>24.138985000000002</v>
      </c>
      <c r="Q70" s="30">
        <v>19.291651999999999</v>
      </c>
      <c r="R70" s="30">
        <v>29.530702999999999</v>
      </c>
      <c r="S70" s="2">
        <v>2.6120030000000001</v>
      </c>
      <c r="T70" s="2">
        <v>1.3537686</v>
      </c>
      <c r="U70" s="2">
        <v>2.9419805000000001</v>
      </c>
      <c r="V70" s="2">
        <v>3.8014478999999999</v>
      </c>
      <c r="W70" s="2">
        <v>-1.9648338999999999</v>
      </c>
      <c r="X70" s="2">
        <v>9.5677296999999992</v>
      </c>
      <c r="Y70" s="2">
        <v>69</v>
      </c>
      <c r="Z70">
        <v>72</v>
      </c>
    </row>
    <row r="71" spans="1:26" x14ac:dyDescent="0.3">
      <c r="A71" s="55">
        <v>23231</v>
      </c>
      <c r="B71" s="55">
        <v>249</v>
      </c>
      <c r="C71" s="2" t="s">
        <v>23</v>
      </c>
      <c r="D71" s="2" t="s">
        <v>22</v>
      </c>
      <c r="E71" s="2" t="s">
        <v>20</v>
      </c>
      <c r="F71" s="2" t="s">
        <v>19</v>
      </c>
      <c r="G71" s="2" t="s">
        <v>16</v>
      </c>
      <c r="H71" s="46">
        <v>0.27710843000000002</v>
      </c>
      <c r="I71" s="30">
        <f>Tabla4[[#This Row],[sedentarismo2]]*100</f>
        <v>27.710843000000001</v>
      </c>
      <c r="J71" s="2">
        <v>26.333649000000001</v>
      </c>
      <c r="K71" s="2">
        <v>12.158963999999999</v>
      </c>
      <c r="L71" s="2">
        <v>-1.1446936000000001</v>
      </c>
      <c r="M71" s="30">
        <v>24.102149000000001</v>
      </c>
      <c r="N71" s="30">
        <v>27.173909999999999</v>
      </c>
      <c r="O71" s="30">
        <v>21.404252</v>
      </c>
      <c r="P71" s="30">
        <v>26.105128000000001</v>
      </c>
      <c r="Q71" s="30">
        <v>21.568075</v>
      </c>
      <c r="R71" s="30">
        <v>31.260085</v>
      </c>
      <c r="S71" s="2">
        <v>2.4724515</v>
      </c>
      <c r="T71" s="2">
        <v>1.4718515999999999</v>
      </c>
      <c r="U71" s="2">
        <v>2.8773882999999998</v>
      </c>
      <c r="V71" s="2">
        <v>2.0029788000000002</v>
      </c>
      <c r="W71" s="2">
        <v>-3.6367022000000002</v>
      </c>
      <c r="X71" s="2">
        <v>7.6426597999999997</v>
      </c>
      <c r="Y71" s="2">
        <v>70</v>
      </c>
      <c r="Z71">
        <v>65</v>
      </c>
    </row>
    <row r="72" spans="1:26" x14ac:dyDescent="0.3">
      <c r="A72" s="55">
        <v>23222</v>
      </c>
      <c r="B72" s="55">
        <v>351</v>
      </c>
      <c r="C72" s="2" t="s">
        <v>23</v>
      </c>
      <c r="D72" s="2" t="s">
        <v>22</v>
      </c>
      <c r="E72" s="2" t="s">
        <v>20</v>
      </c>
      <c r="F72" s="2" t="s">
        <v>18</v>
      </c>
      <c r="G72" s="2" t="s">
        <v>17</v>
      </c>
      <c r="H72" s="46">
        <v>0.32193732000000003</v>
      </c>
      <c r="I72" s="30">
        <f>Tabla4[[#This Row],[sedentarismo2]]*100</f>
        <v>32.193732000000004</v>
      </c>
      <c r="J72" s="2">
        <v>30.982225</v>
      </c>
      <c r="K72" s="2">
        <v>12.158963999999999</v>
      </c>
      <c r="L72" s="2">
        <v>-0.88438468000000003</v>
      </c>
      <c r="M72" s="30">
        <v>29.211815999999999</v>
      </c>
      <c r="N72" s="30">
        <v>32.684044</v>
      </c>
      <c r="O72" s="30">
        <v>26.024160999999999</v>
      </c>
      <c r="P72" s="30">
        <v>31.226018</v>
      </c>
      <c r="Q72" s="30">
        <v>26.497937</v>
      </c>
      <c r="R72" s="30">
        <v>36.061022000000001</v>
      </c>
      <c r="S72" s="2">
        <v>2.4395625000000001</v>
      </c>
      <c r="T72" s="2">
        <v>1.6989498999999999</v>
      </c>
      <c r="U72" s="2">
        <v>2.9728598000000002</v>
      </c>
      <c r="V72" s="2">
        <v>2.014202</v>
      </c>
      <c r="W72" s="2">
        <v>-3.8126033000000001</v>
      </c>
      <c r="X72" s="2">
        <v>7.8410073000000002</v>
      </c>
      <c r="Y72" s="2">
        <v>71</v>
      </c>
      <c r="Z72">
        <v>66</v>
      </c>
    </row>
    <row r="73" spans="1:26" x14ac:dyDescent="0.3">
      <c r="A73" s="55">
        <v>23232</v>
      </c>
      <c r="B73" s="55">
        <v>503</v>
      </c>
      <c r="C73" s="2" t="s">
        <v>23</v>
      </c>
      <c r="D73" s="2" t="s">
        <v>22</v>
      </c>
      <c r="E73" s="2" t="s">
        <v>20</v>
      </c>
      <c r="F73" s="2" t="s">
        <v>19</v>
      </c>
      <c r="G73" s="2" t="s">
        <v>17</v>
      </c>
      <c r="H73" s="46">
        <v>0.32405567000000002</v>
      </c>
      <c r="I73" s="30">
        <f>Tabla4[[#This Row],[sedentarismo2]]*100</f>
        <v>32.405567000000005</v>
      </c>
      <c r="J73" s="2">
        <v>31.541460000000001</v>
      </c>
      <c r="K73" s="2">
        <v>12.158963999999999</v>
      </c>
      <c r="L73" s="2">
        <v>-0.86802634999999995</v>
      </c>
      <c r="M73" s="30">
        <v>29.535883999999999</v>
      </c>
      <c r="N73" s="30">
        <v>32.709710999999999</v>
      </c>
      <c r="O73" s="30">
        <v>26.442450999999998</v>
      </c>
      <c r="P73" s="30">
        <v>31.71754</v>
      </c>
      <c r="Q73" s="30">
        <v>27.571947999999999</v>
      </c>
      <c r="R73" s="30">
        <v>37.066612999999997</v>
      </c>
      <c r="S73" s="2">
        <v>2.4221086000000001</v>
      </c>
      <c r="T73" s="2">
        <v>1.5987906000000001</v>
      </c>
      <c r="U73" s="2">
        <v>2.902196</v>
      </c>
      <c r="V73" s="2">
        <v>2.1816561999999999</v>
      </c>
      <c r="W73" s="2">
        <v>-3.5066480000000002</v>
      </c>
      <c r="X73" s="2">
        <v>7.8699604000000001</v>
      </c>
      <c r="Y73" s="2">
        <v>72</v>
      </c>
      <c r="Z73">
        <v>69</v>
      </c>
    </row>
  </sheetData>
  <sortState xmlns:xlrd2="http://schemas.microsoft.com/office/spreadsheetml/2017/richdata2" ref="A2:Z73">
    <sortCondition ref="Y1:Y73"/>
  </sortState>
  <phoneticPr fontId="1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DAC9-0E80-42AE-BB0F-4E8CB95E0FA3}">
  <dimension ref="A1:J73"/>
  <sheetViews>
    <sheetView topLeftCell="A61" zoomScaleNormal="100" workbookViewId="0">
      <selection activeCell="H73" sqref="H73"/>
    </sheetView>
  </sheetViews>
  <sheetFormatPr baseColWidth="10" defaultRowHeight="14.4" x14ac:dyDescent="0.3"/>
  <cols>
    <col min="1" max="15" width="11.44140625" customWidth="1"/>
  </cols>
  <sheetData>
    <row r="1" spans="1:10" x14ac:dyDescent="0.3">
      <c r="A1" t="s">
        <v>0</v>
      </c>
      <c r="B1" t="s">
        <v>6</v>
      </c>
      <c r="C1" t="s">
        <v>172</v>
      </c>
      <c r="D1" t="s">
        <v>9</v>
      </c>
      <c r="E1" t="s">
        <v>8</v>
      </c>
      <c r="F1" t="s">
        <v>10</v>
      </c>
      <c r="G1" t="s">
        <v>170</v>
      </c>
      <c r="H1" t="s">
        <v>168</v>
      </c>
      <c r="I1" t="s">
        <v>169</v>
      </c>
      <c r="J1" t="s">
        <v>171</v>
      </c>
    </row>
    <row r="2" spans="1:10" x14ac:dyDescent="0.3">
      <c r="A2" s="31">
        <v>21132</v>
      </c>
      <c r="B2" s="31" t="s">
        <v>23</v>
      </c>
      <c r="C2" s="31" t="s">
        <v>13</v>
      </c>
      <c r="D2" s="31" t="s">
        <v>15</v>
      </c>
      <c r="E2" s="31" t="s">
        <v>19</v>
      </c>
      <c r="F2" s="31" t="s">
        <v>17</v>
      </c>
      <c r="G2" s="32">
        <v>-2.446933</v>
      </c>
      <c r="H2" s="32">
        <v>-4.989115</v>
      </c>
      <c r="I2" s="32">
        <v>0.42802050000000003</v>
      </c>
      <c r="J2" s="31">
        <v>1</v>
      </c>
    </row>
    <row r="3" spans="1:10" x14ac:dyDescent="0.3">
      <c r="A3" s="31">
        <v>13212</v>
      </c>
      <c r="B3" s="31" t="s">
        <v>12</v>
      </c>
      <c r="C3" s="31" t="s">
        <v>22</v>
      </c>
      <c r="D3" s="31" t="s">
        <v>20</v>
      </c>
      <c r="E3" s="31" t="s">
        <v>14</v>
      </c>
      <c r="F3" s="31" t="s">
        <v>17</v>
      </c>
      <c r="G3" s="32">
        <v>-2.3195579999999998</v>
      </c>
      <c r="H3" s="32">
        <v>-4.8272599999999999</v>
      </c>
      <c r="I3" s="32">
        <v>0.52894350000000001</v>
      </c>
      <c r="J3" s="31">
        <v>2</v>
      </c>
    </row>
    <row r="4" spans="1:10" x14ac:dyDescent="0.3">
      <c r="A4" s="31">
        <v>12222</v>
      </c>
      <c r="B4" s="31" t="s">
        <v>12</v>
      </c>
      <c r="C4" s="31" t="s">
        <v>21</v>
      </c>
      <c r="D4" s="31" t="s">
        <v>20</v>
      </c>
      <c r="E4" s="31" t="s">
        <v>18</v>
      </c>
      <c r="F4" s="31" t="s">
        <v>17</v>
      </c>
      <c r="G4" s="32">
        <v>-2.3059460000000001</v>
      </c>
      <c r="H4" s="32">
        <v>-4.6985320000000002</v>
      </c>
      <c r="I4" s="32">
        <v>0.44500299999999998</v>
      </c>
      <c r="J4" s="31">
        <v>3</v>
      </c>
    </row>
    <row r="5" spans="1:10" x14ac:dyDescent="0.3">
      <c r="A5" s="31">
        <v>21222</v>
      </c>
      <c r="B5" s="31" t="s">
        <v>23</v>
      </c>
      <c r="C5" s="31" t="s">
        <v>13</v>
      </c>
      <c r="D5" s="31" t="s">
        <v>20</v>
      </c>
      <c r="E5" s="31" t="s">
        <v>18</v>
      </c>
      <c r="F5" s="31" t="s">
        <v>17</v>
      </c>
      <c r="G5" s="32">
        <v>-1.907807</v>
      </c>
      <c r="H5" s="32">
        <v>-5.3589409999999997</v>
      </c>
      <c r="I5" s="32">
        <v>1.9895320000000001</v>
      </c>
      <c r="J5" s="31">
        <v>4</v>
      </c>
    </row>
    <row r="6" spans="1:10" x14ac:dyDescent="0.3">
      <c r="A6" s="31">
        <v>23131</v>
      </c>
      <c r="B6" s="31" t="s">
        <v>23</v>
      </c>
      <c r="C6" s="31" t="s">
        <v>22</v>
      </c>
      <c r="D6" s="31" t="s">
        <v>15</v>
      </c>
      <c r="E6" s="31" t="s">
        <v>19</v>
      </c>
      <c r="F6" s="31" t="s">
        <v>16</v>
      </c>
      <c r="G6" s="32">
        <v>-1.330049</v>
      </c>
      <c r="H6" s="32">
        <v>-4.722925</v>
      </c>
      <c r="I6" s="32">
        <v>2.575396</v>
      </c>
      <c r="J6" s="31">
        <v>5</v>
      </c>
    </row>
    <row r="7" spans="1:10" x14ac:dyDescent="0.3">
      <c r="A7">
        <v>13232</v>
      </c>
      <c r="B7" t="s">
        <v>12</v>
      </c>
      <c r="C7" t="s">
        <v>22</v>
      </c>
      <c r="D7" t="s">
        <v>20</v>
      </c>
      <c r="E7" t="s">
        <v>19</v>
      </c>
      <c r="F7" t="s">
        <v>17</v>
      </c>
      <c r="G7" s="29">
        <v>-1.29155</v>
      </c>
      <c r="H7" s="29">
        <v>-4.3130050000000004</v>
      </c>
      <c r="I7" s="29">
        <v>2.1811289999999999</v>
      </c>
      <c r="J7">
        <v>6</v>
      </c>
    </row>
    <row r="8" spans="1:10" x14ac:dyDescent="0.3">
      <c r="A8">
        <v>13211</v>
      </c>
      <c r="B8" t="s">
        <v>12</v>
      </c>
      <c r="C8" t="s">
        <v>22</v>
      </c>
      <c r="D8" t="s">
        <v>20</v>
      </c>
      <c r="E8" t="s">
        <v>14</v>
      </c>
      <c r="F8" t="s">
        <v>16</v>
      </c>
      <c r="G8" s="29">
        <v>-1.1073059999999999</v>
      </c>
      <c r="H8" s="29">
        <v>-3.8913660000000001</v>
      </c>
      <c r="I8" s="29">
        <v>2.0092449999999999</v>
      </c>
      <c r="J8">
        <v>7</v>
      </c>
    </row>
    <row r="9" spans="1:10" x14ac:dyDescent="0.3">
      <c r="A9">
        <v>23121</v>
      </c>
      <c r="B9" t="s">
        <v>23</v>
      </c>
      <c r="C9" t="s">
        <v>22</v>
      </c>
      <c r="D9" t="s">
        <v>15</v>
      </c>
      <c r="E9" t="s">
        <v>18</v>
      </c>
      <c r="F9" t="s">
        <v>16</v>
      </c>
      <c r="G9" s="29">
        <v>-1.028051</v>
      </c>
      <c r="H9" s="29">
        <v>-5.0038999999999998</v>
      </c>
      <c r="I9" s="29">
        <v>3.345879</v>
      </c>
      <c r="J9">
        <v>8</v>
      </c>
    </row>
    <row r="10" spans="1:10" x14ac:dyDescent="0.3">
      <c r="A10">
        <v>12232</v>
      </c>
      <c r="B10" t="s">
        <v>12</v>
      </c>
      <c r="C10" t="s">
        <v>21</v>
      </c>
      <c r="D10" t="s">
        <v>20</v>
      </c>
      <c r="E10" t="s">
        <v>19</v>
      </c>
      <c r="F10" t="s">
        <v>17</v>
      </c>
      <c r="G10" s="29">
        <v>-0.99674720000000006</v>
      </c>
      <c r="H10" s="29">
        <v>-3.4294479999999998</v>
      </c>
      <c r="I10" s="29">
        <v>1.825877</v>
      </c>
      <c r="J10">
        <v>9</v>
      </c>
    </row>
    <row r="11" spans="1:10" x14ac:dyDescent="0.3">
      <c r="A11">
        <v>13222</v>
      </c>
      <c r="B11" t="s">
        <v>12</v>
      </c>
      <c r="C11" t="s">
        <v>22</v>
      </c>
      <c r="D11" t="s">
        <v>20</v>
      </c>
      <c r="E11" t="s">
        <v>18</v>
      </c>
      <c r="F11" t="s">
        <v>17</v>
      </c>
      <c r="G11" s="29">
        <v>-0.9631113</v>
      </c>
      <c r="H11" s="29">
        <v>-4.2663890000000002</v>
      </c>
      <c r="I11" s="29">
        <v>3.0576840000000001</v>
      </c>
      <c r="J11">
        <v>10</v>
      </c>
    </row>
    <row r="12" spans="1:10" x14ac:dyDescent="0.3">
      <c r="A12">
        <v>13132</v>
      </c>
      <c r="B12" t="s">
        <v>12</v>
      </c>
      <c r="C12" t="s">
        <v>22</v>
      </c>
      <c r="D12" t="s">
        <v>15</v>
      </c>
      <c r="E12" t="s">
        <v>19</v>
      </c>
      <c r="F12" t="s">
        <v>17</v>
      </c>
      <c r="G12" s="29">
        <v>-0.93775439999999999</v>
      </c>
      <c r="H12" s="29">
        <v>-3.342978</v>
      </c>
      <c r="I12" s="29">
        <v>1.742021</v>
      </c>
      <c r="J12">
        <v>11</v>
      </c>
    </row>
    <row r="13" spans="1:10" x14ac:dyDescent="0.3">
      <c r="A13">
        <v>21121</v>
      </c>
      <c r="B13" t="s">
        <v>23</v>
      </c>
      <c r="C13" t="s">
        <v>13</v>
      </c>
      <c r="D13" t="s">
        <v>15</v>
      </c>
      <c r="E13" t="s">
        <v>18</v>
      </c>
      <c r="F13" t="s">
        <v>16</v>
      </c>
      <c r="G13" s="29">
        <v>-0.90319459999999996</v>
      </c>
      <c r="H13" s="29">
        <v>-3.576927</v>
      </c>
      <c r="I13" s="29">
        <v>2.104552</v>
      </c>
      <c r="J13">
        <v>12</v>
      </c>
    </row>
    <row r="14" spans="1:10" x14ac:dyDescent="0.3">
      <c r="A14">
        <v>21122</v>
      </c>
      <c r="B14" t="s">
        <v>23</v>
      </c>
      <c r="C14" t="s">
        <v>13</v>
      </c>
      <c r="D14" t="s">
        <v>15</v>
      </c>
      <c r="E14" t="s">
        <v>18</v>
      </c>
      <c r="F14" t="s">
        <v>17</v>
      </c>
      <c r="G14" s="29">
        <v>-0.87362300000000004</v>
      </c>
      <c r="H14" s="29">
        <v>-3.5792869999999999</v>
      </c>
      <c r="I14" s="29">
        <v>2.7280039999999999</v>
      </c>
      <c r="J14">
        <v>13</v>
      </c>
    </row>
    <row r="15" spans="1:10" x14ac:dyDescent="0.3">
      <c r="A15">
        <v>13131</v>
      </c>
      <c r="B15" t="s">
        <v>12</v>
      </c>
      <c r="C15" t="s">
        <v>22</v>
      </c>
      <c r="D15" t="s">
        <v>15</v>
      </c>
      <c r="E15" t="s">
        <v>19</v>
      </c>
      <c r="F15" t="s">
        <v>16</v>
      </c>
      <c r="G15" s="29">
        <v>-0.84597060000000002</v>
      </c>
      <c r="H15" s="29">
        <v>-3.165092</v>
      </c>
      <c r="I15" s="29">
        <v>1.6640250000000001</v>
      </c>
      <c r="J15">
        <v>14</v>
      </c>
    </row>
    <row r="16" spans="1:10" x14ac:dyDescent="0.3">
      <c r="A16">
        <v>22121</v>
      </c>
      <c r="B16" t="s">
        <v>23</v>
      </c>
      <c r="C16" t="s">
        <v>21</v>
      </c>
      <c r="D16" t="s">
        <v>15</v>
      </c>
      <c r="E16" t="s">
        <v>18</v>
      </c>
      <c r="F16" t="s">
        <v>16</v>
      </c>
      <c r="G16" s="29">
        <v>-0.81850060000000002</v>
      </c>
      <c r="H16" s="29">
        <v>-3.575863</v>
      </c>
      <c r="I16" s="29">
        <v>2.4675250000000002</v>
      </c>
      <c r="J16">
        <v>15</v>
      </c>
    </row>
    <row r="17" spans="1:10" x14ac:dyDescent="0.3">
      <c r="A17">
        <v>21232</v>
      </c>
      <c r="B17" t="s">
        <v>23</v>
      </c>
      <c r="C17" t="s">
        <v>13</v>
      </c>
      <c r="D17" t="s">
        <v>20</v>
      </c>
      <c r="E17" t="s">
        <v>19</v>
      </c>
      <c r="F17" t="s">
        <v>17</v>
      </c>
      <c r="G17" s="29">
        <v>-0.80846969999999996</v>
      </c>
      <c r="H17" s="29">
        <v>-4.2389140000000003</v>
      </c>
      <c r="I17" s="29">
        <v>3.2051229999999999</v>
      </c>
      <c r="J17">
        <v>16</v>
      </c>
    </row>
    <row r="18" spans="1:10" x14ac:dyDescent="0.3">
      <c r="A18">
        <v>13221</v>
      </c>
      <c r="B18" t="s">
        <v>12</v>
      </c>
      <c r="C18" t="s">
        <v>22</v>
      </c>
      <c r="D18" t="s">
        <v>20</v>
      </c>
      <c r="E18" t="s">
        <v>18</v>
      </c>
      <c r="F18" t="s">
        <v>16</v>
      </c>
      <c r="G18" s="29">
        <v>-0.76247469999999995</v>
      </c>
      <c r="H18" s="29">
        <v>-3.822584</v>
      </c>
      <c r="I18" s="29">
        <v>2.8336399999999999</v>
      </c>
      <c r="J18">
        <v>17</v>
      </c>
    </row>
    <row r="19" spans="1:10" x14ac:dyDescent="0.3">
      <c r="A19">
        <v>23212</v>
      </c>
      <c r="B19" t="s">
        <v>23</v>
      </c>
      <c r="C19" t="s">
        <v>22</v>
      </c>
      <c r="D19" t="s">
        <v>20</v>
      </c>
      <c r="E19" t="s">
        <v>14</v>
      </c>
      <c r="F19" t="s">
        <v>17</v>
      </c>
      <c r="G19" s="29">
        <v>-0.73896019999999996</v>
      </c>
      <c r="H19" s="29">
        <v>-4.9088950000000002</v>
      </c>
      <c r="I19" s="29">
        <v>4.3113159999999997</v>
      </c>
      <c r="J19">
        <v>18</v>
      </c>
    </row>
    <row r="20" spans="1:10" x14ac:dyDescent="0.3">
      <c r="A20">
        <v>21211</v>
      </c>
      <c r="B20" t="s">
        <v>23</v>
      </c>
      <c r="C20" t="s">
        <v>13</v>
      </c>
      <c r="D20" t="s">
        <v>20</v>
      </c>
      <c r="E20" t="s">
        <v>14</v>
      </c>
      <c r="F20" t="s">
        <v>16</v>
      </c>
      <c r="G20" s="29">
        <v>-0.72447850000000003</v>
      </c>
      <c r="H20" s="29">
        <v>-3.8401909999999999</v>
      </c>
      <c r="I20" s="29">
        <v>3.3518210000000002</v>
      </c>
      <c r="J20">
        <v>19</v>
      </c>
    </row>
    <row r="21" spans="1:10" x14ac:dyDescent="0.3">
      <c r="A21">
        <v>22211</v>
      </c>
      <c r="B21" t="s">
        <v>23</v>
      </c>
      <c r="C21" t="s">
        <v>21</v>
      </c>
      <c r="D21" t="s">
        <v>20</v>
      </c>
      <c r="E21" t="s">
        <v>14</v>
      </c>
      <c r="F21" t="s">
        <v>16</v>
      </c>
      <c r="G21" s="29">
        <v>-0.71577040000000003</v>
      </c>
      <c r="H21" s="29">
        <v>-3.7413159999999999</v>
      </c>
      <c r="I21" s="29">
        <v>2.8380649999999998</v>
      </c>
      <c r="J21">
        <v>20</v>
      </c>
    </row>
    <row r="22" spans="1:10" x14ac:dyDescent="0.3">
      <c r="A22">
        <v>13231</v>
      </c>
      <c r="B22" t="s">
        <v>12</v>
      </c>
      <c r="C22" t="s">
        <v>22</v>
      </c>
      <c r="D22" t="s">
        <v>20</v>
      </c>
      <c r="E22" t="s">
        <v>19</v>
      </c>
      <c r="F22" t="s">
        <v>16</v>
      </c>
      <c r="G22" s="29">
        <v>-0.69371899999999997</v>
      </c>
      <c r="H22" s="29">
        <v>-3.8262290000000001</v>
      </c>
      <c r="I22" s="29">
        <v>2.895032</v>
      </c>
      <c r="J22">
        <v>21</v>
      </c>
    </row>
    <row r="23" spans="1:10" x14ac:dyDescent="0.3">
      <c r="A23">
        <v>22132</v>
      </c>
      <c r="B23" t="s">
        <v>23</v>
      </c>
      <c r="C23" t="s">
        <v>21</v>
      </c>
      <c r="D23" t="s">
        <v>15</v>
      </c>
      <c r="E23" t="s">
        <v>19</v>
      </c>
      <c r="F23" t="s">
        <v>17</v>
      </c>
      <c r="G23" s="29">
        <v>-0.66600579999999998</v>
      </c>
      <c r="H23" s="29">
        <v>-3.6098520000000001</v>
      </c>
      <c r="I23" s="29">
        <v>2.614128</v>
      </c>
      <c r="J23">
        <v>22</v>
      </c>
    </row>
    <row r="24" spans="1:10" x14ac:dyDescent="0.3">
      <c r="A24">
        <v>22111</v>
      </c>
      <c r="B24" t="s">
        <v>23</v>
      </c>
      <c r="C24" t="s">
        <v>21</v>
      </c>
      <c r="D24" t="s">
        <v>15</v>
      </c>
      <c r="E24" t="s">
        <v>14</v>
      </c>
      <c r="F24" t="s">
        <v>16</v>
      </c>
      <c r="G24" s="29">
        <v>-0.66025310000000004</v>
      </c>
      <c r="H24" s="29">
        <v>-2.8548260000000001</v>
      </c>
      <c r="I24" s="29">
        <v>2.283436</v>
      </c>
      <c r="J24">
        <v>23</v>
      </c>
    </row>
    <row r="25" spans="1:10" x14ac:dyDescent="0.3">
      <c r="A25">
        <v>11121</v>
      </c>
      <c r="B25" t="s">
        <v>12</v>
      </c>
      <c r="C25" t="s">
        <v>13</v>
      </c>
      <c r="D25" t="s">
        <v>15</v>
      </c>
      <c r="E25" t="s">
        <v>18</v>
      </c>
      <c r="F25" t="s">
        <v>16</v>
      </c>
      <c r="G25" s="29">
        <v>-0.54657900000000004</v>
      </c>
      <c r="H25" s="29">
        <v>-2.046627</v>
      </c>
      <c r="I25" s="29">
        <v>1.278966</v>
      </c>
      <c r="J25">
        <v>24</v>
      </c>
    </row>
    <row r="26" spans="1:10" x14ac:dyDescent="0.3">
      <c r="A26">
        <v>21131</v>
      </c>
      <c r="B26" t="s">
        <v>23</v>
      </c>
      <c r="C26" t="s">
        <v>13</v>
      </c>
      <c r="D26" t="s">
        <v>15</v>
      </c>
      <c r="E26" t="s">
        <v>19</v>
      </c>
      <c r="F26" t="s">
        <v>16</v>
      </c>
      <c r="G26" s="29">
        <v>-0.34628110000000001</v>
      </c>
      <c r="H26" s="29">
        <v>-2.8681169999999998</v>
      </c>
      <c r="I26" s="29">
        <v>2.6195050000000002</v>
      </c>
      <c r="J26">
        <v>25</v>
      </c>
    </row>
    <row r="27" spans="1:10" x14ac:dyDescent="0.3">
      <c r="A27">
        <v>21111</v>
      </c>
      <c r="B27" t="s">
        <v>23</v>
      </c>
      <c r="C27" t="s">
        <v>13</v>
      </c>
      <c r="D27" t="s">
        <v>15</v>
      </c>
      <c r="E27" t="s">
        <v>14</v>
      </c>
      <c r="F27" t="s">
        <v>16</v>
      </c>
      <c r="G27" s="29">
        <v>-0.3324841</v>
      </c>
      <c r="H27" s="29">
        <v>-2.6410930000000001</v>
      </c>
      <c r="I27" s="29">
        <v>2.563415</v>
      </c>
      <c r="J27">
        <v>26</v>
      </c>
    </row>
    <row r="28" spans="1:10" x14ac:dyDescent="0.3">
      <c r="A28">
        <v>22131</v>
      </c>
      <c r="B28" t="s">
        <v>23</v>
      </c>
      <c r="C28" t="s">
        <v>21</v>
      </c>
      <c r="D28" t="s">
        <v>15</v>
      </c>
      <c r="E28" t="s">
        <v>19</v>
      </c>
      <c r="F28" t="s">
        <v>16</v>
      </c>
      <c r="G28" s="29">
        <v>-0.27472350000000001</v>
      </c>
      <c r="H28" s="29">
        <v>-3.077137</v>
      </c>
      <c r="I28" s="29">
        <v>2.914606</v>
      </c>
      <c r="J28">
        <v>27</v>
      </c>
    </row>
    <row r="29" spans="1:10" x14ac:dyDescent="0.3">
      <c r="A29">
        <v>13111</v>
      </c>
      <c r="B29" t="s">
        <v>12</v>
      </c>
      <c r="C29" t="s">
        <v>22</v>
      </c>
      <c r="D29" t="s">
        <v>15</v>
      </c>
      <c r="E29" t="s">
        <v>14</v>
      </c>
      <c r="F29" t="s">
        <v>16</v>
      </c>
      <c r="G29" s="29">
        <v>-0.25772850000000003</v>
      </c>
      <c r="H29" s="29">
        <v>-2.32403</v>
      </c>
      <c r="I29" s="29">
        <v>2.2264699999999999</v>
      </c>
      <c r="J29">
        <v>28</v>
      </c>
    </row>
    <row r="30" spans="1:10" x14ac:dyDescent="0.3">
      <c r="A30">
        <v>11221</v>
      </c>
      <c r="B30" t="s">
        <v>12</v>
      </c>
      <c r="C30" t="s">
        <v>13</v>
      </c>
      <c r="D30" t="s">
        <v>20</v>
      </c>
      <c r="E30" t="s">
        <v>18</v>
      </c>
      <c r="F30" t="s">
        <v>16</v>
      </c>
      <c r="G30" s="29">
        <v>-0.23621549999999999</v>
      </c>
      <c r="H30" s="29">
        <v>-2.713155</v>
      </c>
      <c r="I30" s="29">
        <v>2.588063</v>
      </c>
      <c r="J30">
        <v>29</v>
      </c>
    </row>
    <row r="31" spans="1:10" x14ac:dyDescent="0.3">
      <c r="A31">
        <v>23221</v>
      </c>
      <c r="B31" t="s">
        <v>23</v>
      </c>
      <c r="C31" t="s">
        <v>22</v>
      </c>
      <c r="D31" t="s">
        <v>20</v>
      </c>
      <c r="E31" t="s">
        <v>18</v>
      </c>
      <c r="F31" t="s">
        <v>16</v>
      </c>
      <c r="G31" s="29">
        <v>-0.22467010000000001</v>
      </c>
      <c r="H31" s="29">
        <v>-5.7010860000000001</v>
      </c>
      <c r="I31" s="29">
        <v>5.5420540000000003</v>
      </c>
      <c r="J31">
        <v>30</v>
      </c>
    </row>
    <row r="32" spans="1:10" x14ac:dyDescent="0.3">
      <c r="A32">
        <v>22212</v>
      </c>
      <c r="B32" t="s">
        <v>23</v>
      </c>
      <c r="C32" t="s">
        <v>21</v>
      </c>
      <c r="D32" t="s">
        <v>20</v>
      </c>
      <c r="E32" t="s">
        <v>14</v>
      </c>
      <c r="F32" t="s">
        <v>17</v>
      </c>
      <c r="G32" s="29">
        <v>-0.19975799999999999</v>
      </c>
      <c r="H32" s="29">
        <v>-3.7899099999999999</v>
      </c>
      <c r="I32" s="29">
        <v>3.620946</v>
      </c>
      <c r="J32">
        <v>31</v>
      </c>
    </row>
    <row r="33" spans="1:10" x14ac:dyDescent="0.3">
      <c r="A33">
        <v>22122</v>
      </c>
      <c r="B33" t="s">
        <v>23</v>
      </c>
      <c r="C33" t="s">
        <v>21</v>
      </c>
      <c r="D33" t="s">
        <v>15</v>
      </c>
      <c r="E33" t="s">
        <v>18</v>
      </c>
      <c r="F33" t="s">
        <v>17</v>
      </c>
      <c r="G33" s="29">
        <v>-0.16936480000000001</v>
      </c>
      <c r="H33" s="29">
        <v>-3.5583339999999999</v>
      </c>
      <c r="I33" s="29">
        <v>3.5960670000000001</v>
      </c>
      <c r="J33">
        <v>32</v>
      </c>
    </row>
    <row r="34" spans="1:10" x14ac:dyDescent="0.3">
      <c r="A34">
        <v>22222</v>
      </c>
      <c r="B34" t="s">
        <v>23</v>
      </c>
      <c r="C34" t="s">
        <v>21</v>
      </c>
      <c r="D34" t="s">
        <v>20</v>
      </c>
      <c r="E34" t="s">
        <v>18</v>
      </c>
      <c r="F34" t="s">
        <v>17</v>
      </c>
      <c r="G34" s="29">
        <v>-0.1036062</v>
      </c>
      <c r="H34" s="29">
        <v>-3.9677190000000002</v>
      </c>
      <c r="I34" s="29">
        <v>4.1653260000000003</v>
      </c>
      <c r="J34">
        <v>33</v>
      </c>
    </row>
    <row r="35" spans="1:10" x14ac:dyDescent="0.3">
      <c r="A35">
        <v>11212</v>
      </c>
      <c r="B35" t="s">
        <v>12</v>
      </c>
      <c r="C35" t="s">
        <v>13</v>
      </c>
      <c r="D35" t="s">
        <v>20</v>
      </c>
      <c r="E35" t="s">
        <v>14</v>
      </c>
      <c r="F35" t="s">
        <v>17</v>
      </c>
      <c r="G35" s="29">
        <v>-9.3401999999999999E-2</v>
      </c>
      <c r="H35" s="29">
        <v>-2.2959109999999998</v>
      </c>
      <c r="I35" s="29">
        <v>2.5018419999999999</v>
      </c>
      <c r="J35">
        <v>34</v>
      </c>
    </row>
    <row r="36" spans="1:10" x14ac:dyDescent="0.3">
      <c r="A36">
        <v>21112</v>
      </c>
      <c r="B36" t="s">
        <v>23</v>
      </c>
      <c r="C36" t="s">
        <v>13</v>
      </c>
      <c r="D36" t="s">
        <v>15</v>
      </c>
      <c r="E36" t="s">
        <v>14</v>
      </c>
      <c r="F36" t="s">
        <v>17</v>
      </c>
      <c r="G36" s="29">
        <v>-7.9512700000000006E-2</v>
      </c>
      <c r="H36" s="29">
        <v>-2.6419630000000001</v>
      </c>
      <c r="I36" s="29">
        <v>2.843172</v>
      </c>
      <c r="J36">
        <v>35</v>
      </c>
    </row>
    <row r="37" spans="1:10" x14ac:dyDescent="0.3">
      <c r="A37">
        <v>12112</v>
      </c>
      <c r="B37" t="s">
        <v>12</v>
      </c>
      <c r="C37" t="s">
        <v>21</v>
      </c>
      <c r="D37" t="s">
        <v>15</v>
      </c>
      <c r="E37" t="s">
        <v>14</v>
      </c>
      <c r="F37" t="s">
        <v>17</v>
      </c>
      <c r="G37" s="29">
        <v>-1.54815E-2</v>
      </c>
      <c r="H37" s="29">
        <v>-1.820031</v>
      </c>
      <c r="I37" s="29">
        <v>2.1191070000000001</v>
      </c>
      <c r="J37">
        <v>36</v>
      </c>
    </row>
    <row r="38" spans="1:10" x14ac:dyDescent="0.3">
      <c r="A38">
        <v>11111</v>
      </c>
      <c r="B38" t="s">
        <v>12</v>
      </c>
      <c r="C38" t="s">
        <v>13</v>
      </c>
      <c r="D38" t="s">
        <v>15</v>
      </c>
      <c r="E38" t="s">
        <v>14</v>
      </c>
      <c r="F38" t="s">
        <v>16</v>
      </c>
      <c r="G38" s="29">
        <v>2.0455000000000001E-2</v>
      </c>
      <c r="H38" s="29">
        <v>-1.3384780000000001</v>
      </c>
      <c r="I38" s="29">
        <v>1.825982</v>
      </c>
      <c r="J38">
        <v>37</v>
      </c>
    </row>
    <row r="39" spans="1:10" x14ac:dyDescent="0.3">
      <c r="A39">
        <v>21221</v>
      </c>
      <c r="B39" t="s">
        <v>23</v>
      </c>
      <c r="C39" t="s">
        <v>13</v>
      </c>
      <c r="D39" t="s">
        <v>20</v>
      </c>
      <c r="E39" t="s">
        <v>18</v>
      </c>
      <c r="F39" t="s">
        <v>16</v>
      </c>
      <c r="G39" s="29">
        <v>3.0313400000000001E-2</v>
      </c>
      <c r="H39" s="29">
        <v>-3.8027060000000001</v>
      </c>
      <c r="I39" s="29">
        <v>4.3123659999999999</v>
      </c>
      <c r="J39">
        <v>38</v>
      </c>
    </row>
    <row r="40" spans="1:10" x14ac:dyDescent="0.3">
      <c r="A40">
        <v>12132</v>
      </c>
      <c r="B40" t="s">
        <v>12</v>
      </c>
      <c r="C40" t="s">
        <v>21</v>
      </c>
      <c r="D40" t="s">
        <v>15</v>
      </c>
      <c r="E40" t="s">
        <v>19</v>
      </c>
      <c r="F40" t="s">
        <v>17</v>
      </c>
      <c r="G40" s="29">
        <v>8.1257300000000005E-2</v>
      </c>
      <c r="H40" s="29">
        <v>-1.817021</v>
      </c>
      <c r="I40" s="29">
        <v>2.4588209999999999</v>
      </c>
      <c r="J40">
        <v>39</v>
      </c>
    </row>
    <row r="41" spans="1:10" x14ac:dyDescent="0.3">
      <c r="A41">
        <v>12122</v>
      </c>
      <c r="B41" t="s">
        <v>12</v>
      </c>
      <c r="C41" t="s">
        <v>21</v>
      </c>
      <c r="D41" t="s">
        <v>15</v>
      </c>
      <c r="E41" t="s">
        <v>18</v>
      </c>
      <c r="F41" t="s">
        <v>17</v>
      </c>
      <c r="G41" s="29">
        <v>9.3646699999999999E-2</v>
      </c>
      <c r="H41" s="29">
        <v>-1.943238</v>
      </c>
      <c r="I41" s="29">
        <v>2.510259</v>
      </c>
      <c r="J41">
        <v>40</v>
      </c>
    </row>
    <row r="42" spans="1:10" x14ac:dyDescent="0.3">
      <c r="A42">
        <v>23211</v>
      </c>
      <c r="B42" t="s">
        <v>23</v>
      </c>
      <c r="C42" t="s">
        <v>22</v>
      </c>
      <c r="D42" t="s">
        <v>20</v>
      </c>
      <c r="E42" t="s">
        <v>14</v>
      </c>
      <c r="F42" t="s">
        <v>16</v>
      </c>
      <c r="G42" s="29">
        <v>0.12103510000000001</v>
      </c>
      <c r="H42" s="29">
        <v>-4.1226789999999998</v>
      </c>
      <c r="I42" s="29">
        <v>5.3708280000000004</v>
      </c>
      <c r="J42">
        <v>41</v>
      </c>
    </row>
    <row r="43" spans="1:10" x14ac:dyDescent="0.3">
      <c r="A43">
        <v>12231</v>
      </c>
      <c r="B43" t="s">
        <v>12</v>
      </c>
      <c r="C43" t="s">
        <v>21</v>
      </c>
      <c r="D43" t="s">
        <v>20</v>
      </c>
      <c r="E43" t="s">
        <v>19</v>
      </c>
      <c r="F43" t="s">
        <v>16</v>
      </c>
      <c r="G43" s="29">
        <v>0.12676860000000001</v>
      </c>
      <c r="H43" s="29">
        <v>-2.4340679999999999</v>
      </c>
      <c r="I43" s="29">
        <v>3.1888930000000002</v>
      </c>
      <c r="J43">
        <v>42</v>
      </c>
    </row>
    <row r="44" spans="1:10" x14ac:dyDescent="0.3">
      <c r="A44">
        <v>22232</v>
      </c>
      <c r="B44" t="s">
        <v>23</v>
      </c>
      <c r="C44" t="s">
        <v>21</v>
      </c>
      <c r="D44" t="s">
        <v>20</v>
      </c>
      <c r="E44" t="s">
        <v>19</v>
      </c>
      <c r="F44" t="s">
        <v>17</v>
      </c>
      <c r="G44" s="29">
        <v>0.12796689999999999</v>
      </c>
      <c r="H44" s="29">
        <v>-3.6614040000000001</v>
      </c>
      <c r="I44" s="29">
        <v>4.306953</v>
      </c>
      <c r="J44">
        <v>43</v>
      </c>
    </row>
    <row r="45" spans="1:10" x14ac:dyDescent="0.3">
      <c r="A45">
        <v>12111</v>
      </c>
      <c r="B45" t="s">
        <v>12</v>
      </c>
      <c r="C45" t="s">
        <v>21</v>
      </c>
      <c r="D45" t="s">
        <v>15</v>
      </c>
      <c r="E45" t="s">
        <v>14</v>
      </c>
      <c r="F45" t="s">
        <v>16</v>
      </c>
      <c r="G45" s="29">
        <v>0.13487979999999999</v>
      </c>
      <c r="H45" s="29">
        <v>-1.383097</v>
      </c>
      <c r="I45" s="29">
        <v>2.03687</v>
      </c>
      <c r="J45">
        <v>44</v>
      </c>
    </row>
    <row r="46" spans="1:10" x14ac:dyDescent="0.3">
      <c r="A46">
        <v>12131</v>
      </c>
      <c r="B46" t="s">
        <v>12</v>
      </c>
      <c r="C46" t="s">
        <v>21</v>
      </c>
      <c r="D46" t="s">
        <v>15</v>
      </c>
      <c r="E46" t="s">
        <v>19</v>
      </c>
      <c r="F46" t="s">
        <v>16</v>
      </c>
      <c r="G46" s="29">
        <v>0.14032510000000001</v>
      </c>
      <c r="H46" s="29">
        <v>-1.508815</v>
      </c>
      <c r="I46" s="29">
        <v>2.219983</v>
      </c>
      <c r="J46">
        <v>45</v>
      </c>
    </row>
    <row r="47" spans="1:10" x14ac:dyDescent="0.3">
      <c r="A47">
        <v>11232</v>
      </c>
      <c r="B47" t="s">
        <v>12</v>
      </c>
      <c r="C47" t="s">
        <v>13</v>
      </c>
      <c r="D47" t="s">
        <v>20</v>
      </c>
      <c r="E47" t="s">
        <v>19</v>
      </c>
      <c r="F47" t="s">
        <v>17</v>
      </c>
      <c r="G47" s="29">
        <v>0.32950839999999998</v>
      </c>
      <c r="H47" s="29">
        <v>-2.051666</v>
      </c>
      <c r="I47" s="29">
        <v>3.2122139999999999</v>
      </c>
      <c r="J47">
        <v>46</v>
      </c>
    </row>
    <row r="48" spans="1:10" x14ac:dyDescent="0.3">
      <c r="A48">
        <v>12211</v>
      </c>
      <c r="B48" t="s">
        <v>12</v>
      </c>
      <c r="C48" t="s">
        <v>21</v>
      </c>
      <c r="D48" t="s">
        <v>20</v>
      </c>
      <c r="E48" t="s">
        <v>14</v>
      </c>
      <c r="F48" t="s">
        <v>16</v>
      </c>
      <c r="G48" s="29">
        <v>0.41544799999999998</v>
      </c>
      <c r="H48" s="29">
        <v>-1.836368</v>
      </c>
      <c r="I48" s="29">
        <v>3.1959879999999998</v>
      </c>
      <c r="J48">
        <v>47</v>
      </c>
    </row>
    <row r="49" spans="1:10" x14ac:dyDescent="0.3">
      <c r="A49">
        <v>12121</v>
      </c>
      <c r="B49" t="s">
        <v>12</v>
      </c>
      <c r="C49" t="s">
        <v>21</v>
      </c>
      <c r="D49" t="s">
        <v>15</v>
      </c>
      <c r="E49" t="s">
        <v>18</v>
      </c>
      <c r="F49" t="s">
        <v>16</v>
      </c>
      <c r="G49" s="29">
        <v>0.4301991</v>
      </c>
      <c r="H49" s="29">
        <v>-1.43231</v>
      </c>
      <c r="I49" s="29">
        <v>2.7420599999999999</v>
      </c>
      <c r="J49">
        <v>48</v>
      </c>
    </row>
    <row r="50" spans="1:10" x14ac:dyDescent="0.3">
      <c r="A50">
        <v>13121</v>
      </c>
      <c r="B50" t="s">
        <v>12</v>
      </c>
      <c r="C50" t="s">
        <v>22</v>
      </c>
      <c r="D50" t="s">
        <v>15</v>
      </c>
      <c r="E50" t="s">
        <v>18</v>
      </c>
      <c r="F50" t="s">
        <v>16</v>
      </c>
      <c r="G50" s="29">
        <v>0.43596699999999999</v>
      </c>
      <c r="H50" s="29">
        <v>-2.2422970000000002</v>
      </c>
      <c r="I50" s="29">
        <v>3.8868680000000002</v>
      </c>
      <c r="J50">
        <v>49</v>
      </c>
    </row>
    <row r="51" spans="1:10" x14ac:dyDescent="0.3">
      <c r="A51">
        <v>12212</v>
      </c>
      <c r="B51" t="s">
        <v>12</v>
      </c>
      <c r="C51" t="s">
        <v>21</v>
      </c>
      <c r="D51" t="s">
        <v>20</v>
      </c>
      <c r="E51" t="s">
        <v>14</v>
      </c>
      <c r="F51" t="s">
        <v>17</v>
      </c>
      <c r="G51" s="29">
        <v>0.47054220000000002</v>
      </c>
      <c r="H51" s="29">
        <v>-1.982572</v>
      </c>
      <c r="I51" s="29">
        <v>3.2697409999999998</v>
      </c>
      <c r="J51">
        <v>50</v>
      </c>
    </row>
    <row r="52" spans="1:10" x14ac:dyDescent="0.3">
      <c r="A52">
        <v>13112</v>
      </c>
      <c r="B52" t="s">
        <v>12</v>
      </c>
      <c r="C52" t="s">
        <v>22</v>
      </c>
      <c r="D52" t="s">
        <v>15</v>
      </c>
      <c r="E52" t="s">
        <v>14</v>
      </c>
      <c r="F52" t="s">
        <v>17</v>
      </c>
      <c r="G52" s="29">
        <v>0.54402510000000004</v>
      </c>
      <c r="H52" s="29">
        <v>-2.0295000000000001</v>
      </c>
      <c r="I52" s="29">
        <v>3.5350429999999999</v>
      </c>
      <c r="J52">
        <v>51</v>
      </c>
    </row>
    <row r="53" spans="1:10" x14ac:dyDescent="0.3">
      <c r="A53">
        <v>11132</v>
      </c>
      <c r="B53" t="s">
        <v>12</v>
      </c>
      <c r="C53" t="s">
        <v>13</v>
      </c>
      <c r="D53" t="s">
        <v>15</v>
      </c>
      <c r="E53" t="s">
        <v>19</v>
      </c>
      <c r="F53" t="s">
        <v>17</v>
      </c>
      <c r="G53" s="29">
        <v>0.5927867</v>
      </c>
      <c r="H53" s="29">
        <v>-1.262489</v>
      </c>
      <c r="I53" s="29">
        <v>2.7943699999999998</v>
      </c>
      <c r="J53">
        <v>52</v>
      </c>
    </row>
    <row r="54" spans="1:10" x14ac:dyDescent="0.3">
      <c r="A54">
        <v>11211</v>
      </c>
      <c r="B54" t="s">
        <v>12</v>
      </c>
      <c r="C54" t="s">
        <v>13</v>
      </c>
      <c r="D54" t="s">
        <v>20</v>
      </c>
      <c r="E54" t="s">
        <v>14</v>
      </c>
      <c r="F54" t="s">
        <v>16</v>
      </c>
      <c r="G54" s="29">
        <v>0.6350095</v>
      </c>
      <c r="H54" s="29">
        <v>-1.473517</v>
      </c>
      <c r="I54" s="29">
        <v>3.3785029999999998</v>
      </c>
      <c r="J54">
        <v>53</v>
      </c>
    </row>
    <row r="55" spans="1:10" x14ac:dyDescent="0.3">
      <c r="A55">
        <v>11112</v>
      </c>
      <c r="B55" t="s">
        <v>12</v>
      </c>
      <c r="C55" t="s">
        <v>13</v>
      </c>
      <c r="D55" t="s">
        <v>15</v>
      </c>
      <c r="E55" t="s">
        <v>14</v>
      </c>
      <c r="F55" t="s">
        <v>17</v>
      </c>
      <c r="G55" s="29">
        <v>0.72103280000000003</v>
      </c>
      <c r="H55" s="29">
        <v>-1.097269</v>
      </c>
      <c r="I55" s="29">
        <v>2.7827259999999998</v>
      </c>
      <c r="J55">
        <v>54</v>
      </c>
    </row>
    <row r="56" spans="1:10" x14ac:dyDescent="0.3">
      <c r="A56">
        <v>21231</v>
      </c>
      <c r="B56" t="s">
        <v>23</v>
      </c>
      <c r="C56" t="s">
        <v>13</v>
      </c>
      <c r="D56" t="s">
        <v>20</v>
      </c>
      <c r="E56" t="s">
        <v>19</v>
      </c>
      <c r="F56" t="s">
        <v>16</v>
      </c>
      <c r="G56" s="29">
        <v>0.73625379999999996</v>
      </c>
      <c r="H56" s="29">
        <v>-2.6793520000000002</v>
      </c>
      <c r="I56" s="29">
        <v>4.5172610000000004</v>
      </c>
      <c r="J56">
        <v>55</v>
      </c>
    </row>
    <row r="57" spans="1:10" x14ac:dyDescent="0.3">
      <c r="A57">
        <v>11131</v>
      </c>
      <c r="B57" t="s">
        <v>12</v>
      </c>
      <c r="C57" t="s">
        <v>13</v>
      </c>
      <c r="D57" t="s">
        <v>15</v>
      </c>
      <c r="E57" t="s">
        <v>19</v>
      </c>
      <c r="F57" t="s">
        <v>16</v>
      </c>
      <c r="G57" s="29">
        <v>0.73688140000000002</v>
      </c>
      <c r="H57" s="29">
        <v>-1.0515650000000001</v>
      </c>
      <c r="I57" s="29">
        <v>3.042243</v>
      </c>
      <c r="J57">
        <v>56</v>
      </c>
    </row>
    <row r="58" spans="1:10" x14ac:dyDescent="0.3">
      <c r="A58">
        <v>21212</v>
      </c>
      <c r="B58" t="s">
        <v>23</v>
      </c>
      <c r="C58" t="s">
        <v>13</v>
      </c>
      <c r="D58" t="s">
        <v>20</v>
      </c>
      <c r="E58" t="s">
        <v>14</v>
      </c>
      <c r="F58" t="s">
        <v>17</v>
      </c>
      <c r="G58" s="29">
        <v>0.88734389999999996</v>
      </c>
      <c r="H58" s="29">
        <v>-2.644272</v>
      </c>
      <c r="I58" s="29">
        <v>4.9767330000000003</v>
      </c>
      <c r="J58">
        <v>57</v>
      </c>
    </row>
    <row r="59" spans="1:10" x14ac:dyDescent="0.3">
      <c r="A59">
        <v>11122</v>
      </c>
      <c r="B59" t="s">
        <v>12</v>
      </c>
      <c r="C59" t="s">
        <v>13</v>
      </c>
      <c r="D59" t="s">
        <v>15</v>
      </c>
      <c r="E59" t="s">
        <v>18</v>
      </c>
      <c r="F59" t="s">
        <v>17</v>
      </c>
      <c r="G59" s="29">
        <v>0.97206060000000005</v>
      </c>
      <c r="H59" s="29">
        <v>-1.140701</v>
      </c>
      <c r="I59" s="29">
        <v>3.6049310000000001</v>
      </c>
      <c r="J59">
        <v>58</v>
      </c>
    </row>
    <row r="60" spans="1:10" x14ac:dyDescent="0.3">
      <c r="A60">
        <v>22112</v>
      </c>
      <c r="B60" t="s">
        <v>23</v>
      </c>
      <c r="C60" t="s">
        <v>21</v>
      </c>
      <c r="D60" t="s">
        <v>15</v>
      </c>
      <c r="E60" t="s">
        <v>14</v>
      </c>
      <c r="F60" t="s">
        <v>17</v>
      </c>
      <c r="G60" s="29">
        <v>1.0328809999999999</v>
      </c>
      <c r="H60" s="29">
        <v>-2.1596869999999999</v>
      </c>
      <c r="I60" s="29">
        <v>4.429824</v>
      </c>
      <c r="J60">
        <v>59</v>
      </c>
    </row>
    <row r="61" spans="1:10" x14ac:dyDescent="0.3">
      <c r="A61">
        <v>13122</v>
      </c>
      <c r="B61" t="s">
        <v>12</v>
      </c>
      <c r="C61" t="s">
        <v>22</v>
      </c>
      <c r="D61" t="s">
        <v>15</v>
      </c>
      <c r="E61" t="s">
        <v>18</v>
      </c>
      <c r="F61" t="s">
        <v>17</v>
      </c>
      <c r="G61" s="29">
        <v>1.044842</v>
      </c>
      <c r="H61" s="29">
        <v>-2.0938029999999999</v>
      </c>
      <c r="I61" s="29">
        <v>4.5078649999999998</v>
      </c>
      <c r="J61">
        <v>60</v>
      </c>
    </row>
    <row r="62" spans="1:10" x14ac:dyDescent="0.3">
      <c r="A62">
        <v>11222</v>
      </c>
      <c r="B62" t="s">
        <v>12</v>
      </c>
      <c r="C62" t="s">
        <v>13</v>
      </c>
      <c r="D62" t="s">
        <v>20</v>
      </c>
      <c r="E62" t="s">
        <v>18</v>
      </c>
      <c r="F62" t="s">
        <v>17</v>
      </c>
      <c r="G62" s="29">
        <v>1.435619</v>
      </c>
      <c r="H62" s="29">
        <v>-1.5622240000000001</v>
      </c>
      <c r="I62" s="29">
        <v>4.7029909999999999</v>
      </c>
      <c r="J62">
        <v>61</v>
      </c>
    </row>
    <row r="63" spans="1:10" x14ac:dyDescent="0.3">
      <c r="A63">
        <v>22221</v>
      </c>
      <c r="B63" t="s">
        <v>23</v>
      </c>
      <c r="C63" t="s">
        <v>21</v>
      </c>
      <c r="D63" t="s">
        <v>20</v>
      </c>
      <c r="E63" t="s">
        <v>18</v>
      </c>
      <c r="F63" t="s">
        <v>16</v>
      </c>
      <c r="G63" s="29">
        <v>1.6631899999999999</v>
      </c>
      <c r="H63" s="29">
        <v>-2.507063</v>
      </c>
      <c r="I63" s="29">
        <v>6.4980159999999998</v>
      </c>
      <c r="J63">
        <v>62</v>
      </c>
    </row>
    <row r="64" spans="1:10" x14ac:dyDescent="0.3">
      <c r="A64">
        <v>23111</v>
      </c>
      <c r="B64" t="s">
        <v>23</v>
      </c>
      <c r="C64" t="s">
        <v>22</v>
      </c>
      <c r="D64" t="s">
        <v>15</v>
      </c>
      <c r="E64" t="s">
        <v>14</v>
      </c>
      <c r="F64" t="s">
        <v>16</v>
      </c>
      <c r="G64" s="29">
        <v>1.6650659999999999</v>
      </c>
      <c r="H64" s="29">
        <v>-2.0055049999999999</v>
      </c>
      <c r="I64" s="29">
        <v>6.2566940000000004</v>
      </c>
      <c r="J64">
        <v>63</v>
      </c>
    </row>
    <row r="65" spans="1:10" x14ac:dyDescent="0.3">
      <c r="A65">
        <v>23132</v>
      </c>
      <c r="B65" t="s">
        <v>23</v>
      </c>
      <c r="C65" t="s">
        <v>22</v>
      </c>
      <c r="D65" t="s">
        <v>15</v>
      </c>
      <c r="E65" t="s">
        <v>19</v>
      </c>
      <c r="F65" t="s">
        <v>17</v>
      </c>
      <c r="G65" s="29">
        <v>1.9069529999999999</v>
      </c>
      <c r="H65" s="29">
        <v>-2.157823</v>
      </c>
      <c r="I65" s="29">
        <v>6.0785470000000004</v>
      </c>
      <c r="J65">
        <v>64</v>
      </c>
    </row>
    <row r="66" spans="1:10" x14ac:dyDescent="0.3">
      <c r="A66">
        <v>23222</v>
      </c>
      <c r="B66" t="s">
        <v>23</v>
      </c>
      <c r="C66" t="s">
        <v>22</v>
      </c>
      <c r="D66" t="s">
        <v>20</v>
      </c>
      <c r="E66" t="s">
        <v>18</v>
      </c>
      <c r="F66" t="s">
        <v>17</v>
      </c>
      <c r="G66" s="29">
        <v>2.0187050000000002</v>
      </c>
      <c r="H66" s="29">
        <v>-2.6930860000000001</v>
      </c>
      <c r="I66" s="29">
        <v>7.1182270000000001</v>
      </c>
      <c r="J66">
        <v>65</v>
      </c>
    </row>
    <row r="67" spans="1:10" x14ac:dyDescent="0.3">
      <c r="A67">
        <v>23231</v>
      </c>
      <c r="B67" t="s">
        <v>23</v>
      </c>
      <c r="C67" t="s">
        <v>22</v>
      </c>
      <c r="D67" t="s">
        <v>20</v>
      </c>
      <c r="E67" t="s">
        <v>19</v>
      </c>
      <c r="F67" t="s">
        <v>16</v>
      </c>
      <c r="G67" s="29">
        <v>2.041455</v>
      </c>
      <c r="H67" s="29">
        <v>-2.8436819999999998</v>
      </c>
      <c r="I67" s="29">
        <v>7.5218480000000003</v>
      </c>
      <c r="J67">
        <v>66</v>
      </c>
    </row>
    <row r="68" spans="1:10" x14ac:dyDescent="0.3">
      <c r="A68">
        <v>11231</v>
      </c>
      <c r="B68" t="s">
        <v>12</v>
      </c>
      <c r="C68" t="s">
        <v>13</v>
      </c>
      <c r="D68" t="s">
        <v>20</v>
      </c>
      <c r="E68" t="s">
        <v>19</v>
      </c>
      <c r="F68" t="s">
        <v>16</v>
      </c>
      <c r="G68" s="29">
        <v>2.177619</v>
      </c>
      <c r="H68" s="29">
        <v>-0.40295120000000001</v>
      </c>
      <c r="I68" s="29">
        <v>5.3077899999999998</v>
      </c>
      <c r="J68">
        <v>67</v>
      </c>
    </row>
    <row r="69" spans="1:10" x14ac:dyDescent="0.3">
      <c r="A69" s="2">
        <v>23232</v>
      </c>
      <c r="B69" s="2" t="s">
        <v>23</v>
      </c>
      <c r="C69" s="2" t="s">
        <v>22</v>
      </c>
      <c r="D69" s="2" t="s">
        <v>20</v>
      </c>
      <c r="E69" s="2" t="s">
        <v>19</v>
      </c>
      <c r="F69" s="2" t="s">
        <v>17</v>
      </c>
      <c r="G69" s="30">
        <v>2.2827199999999999</v>
      </c>
      <c r="H69" s="30">
        <v>-2.537512</v>
      </c>
      <c r="I69" s="30">
        <v>7.1089820000000001</v>
      </c>
      <c r="J69" s="2">
        <v>68</v>
      </c>
    </row>
    <row r="70" spans="1:10" x14ac:dyDescent="0.3">
      <c r="A70" s="2">
        <v>12221</v>
      </c>
      <c r="B70" s="2" t="s">
        <v>12</v>
      </c>
      <c r="C70" s="2" t="s">
        <v>21</v>
      </c>
      <c r="D70" s="2" t="s">
        <v>20</v>
      </c>
      <c r="E70" s="2" t="s">
        <v>18</v>
      </c>
      <c r="F70" s="2" t="s">
        <v>16</v>
      </c>
      <c r="G70" s="30">
        <v>2.3454480000000002</v>
      </c>
      <c r="H70" s="30">
        <v>-0.62905690000000003</v>
      </c>
      <c r="I70" s="30">
        <v>5.6914930000000004</v>
      </c>
      <c r="J70" s="2">
        <v>69</v>
      </c>
    </row>
    <row r="71" spans="1:10" x14ac:dyDescent="0.3">
      <c r="A71" s="2">
        <v>22231</v>
      </c>
      <c r="B71" s="2" t="s">
        <v>23</v>
      </c>
      <c r="C71" s="2" t="s">
        <v>21</v>
      </c>
      <c r="D71" s="2" t="s">
        <v>20</v>
      </c>
      <c r="E71" s="2" t="s">
        <v>19</v>
      </c>
      <c r="F71" s="2" t="s">
        <v>16</v>
      </c>
      <c r="G71" s="30">
        <v>3.003714</v>
      </c>
      <c r="H71" s="30">
        <v>-0.72237209999999996</v>
      </c>
      <c r="I71" s="30">
        <v>7.2871230000000002</v>
      </c>
      <c r="J71" s="2">
        <v>70</v>
      </c>
    </row>
    <row r="72" spans="1:10" x14ac:dyDescent="0.3">
      <c r="A72" s="2">
        <v>23112</v>
      </c>
      <c r="B72" s="2" t="s">
        <v>23</v>
      </c>
      <c r="C72" s="2" t="s">
        <v>22</v>
      </c>
      <c r="D72" s="2" t="s">
        <v>15</v>
      </c>
      <c r="E72" s="2" t="s">
        <v>14</v>
      </c>
      <c r="F72" s="2" t="s">
        <v>17</v>
      </c>
      <c r="G72" s="30">
        <v>3.4696280000000002</v>
      </c>
      <c r="H72" s="30">
        <v>-0.8496165</v>
      </c>
      <c r="I72" s="30">
        <v>8.6137650000000008</v>
      </c>
      <c r="J72" s="2">
        <v>71</v>
      </c>
    </row>
    <row r="73" spans="1:10" x14ac:dyDescent="0.3">
      <c r="A73" s="2">
        <v>23122</v>
      </c>
      <c r="B73" s="2" t="s">
        <v>23</v>
      </c>
      <c r="C73" s="2" t="s">
        <v>22</v>
      </c>
      <c r="D73" s="2" t="s">
        <v>15</v>
      </c>
      <c r="E73" s="2" t="s">
        <v>18</v>
      </c>
      <c r="F73" s="2" t="s">
        <v>17</v>
      </c>
      <c r="G73" s="30">
        <v>3.870079</v>
      </c>
      <c r="H73" s="30">
        <v>-0.74056630000000001</v>
      </c>
      <c r="I73" s="30">
        <v>9.2399450000000005</v>
      </c>
      <c r="J73" s="2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A3F2-A7E7-4118-9981-1C7CA2D1B0A4}">
  <dimension ref="A1:B18"/>
  <sheetViews>
    <sheetView tabSelected="1" workbookViewId="0">
      <selection activeCell="F8" sqref="F8"/>
    </sheetView>
  </sheetViews>
  <sheetFormatPr baseColWidth="10" defaultRowHeight="14.4" x14ac:dyDescent="0.3"/>
  <cols>
    <col min="1" max="1" width="16.77734375" bestFit="1" customWidth="1"/>
    <col min="2" max="2" width="75.109375" bestFit="1" customWidth="1"/>
  </cols>
  <sheetData>
    <row r="1" spans="1:2" x14ac:dyDescent="0.3">
      <c r="A1" t="s">
        <v>216</v>
      </c>
      <c r="B1" t="s">
        <v>217</v>
      </c>
    </row>
    <row r="2" spans="1:2" x14ac:dyDescent="0.3">
      <c r="A2" t="s">
        <v>11</v>
      </c>
      <c r="B2" t="s">
        <v>218</v>
      </c>
    </row>
    <row r="3" spans="1:2" x14ac:dyDescent="0.3">
      <c r="A3" t="s">
        <v>27</v>
      </c>
      <c r="B3" t="s">
        <v>219</v>
      </c>
    </row>
    <row r="4" spans="1:2" x14ac:dyDescent="0.3">
      <c r="A4" t="s">
        <v>28</v>
      </c>
      <c r="B4" t="s">
        <v>220</v>
      </c>
    </row>
    <row r="5" spans="1:2" x14ac:dyDescent="0.3">
      <c r="A5" t="s">
        <v>29</v>
      </c>
      <c r="B5" t="s">
        <v>222</v>
      </c>
    </row>
    <row r="6" spans="1:2" x14ac:dyDescent="0.3">
      <c r="A6" t="s">
        <v>30</v>
      </c>
      <c r="B6" t="s">
        <v>221</v>
      </c>
    </row>
    <row r="7" spans="1:2" x14ac:dyDescent="0.3">
      <c r="A7" t="s">
        <v>31</v>
      </c>
      <c r="B7" t="s">
        <v>223</v>
      </c>
    </row>
    <row r="8" spans="1:2" x14ac:dyDescent="0.3">
      <c r="A8" t="s">
        <v>32</v>
      </c>
      <c r="B8" t="s">
        <v>224</v>
      </c>
    </row>
    <row r="9" spans="1:2" x14ac:dyDescent="0.3">
      <c r="A9" t="s">
        <v>33</v>
      </c>
      <c r="B9" t="s">
        <v>225</v>
      </c>
    </row>
    <row r="10" spans="1:2" x14ac:dyDescent="0.3">
      <c r="A10" t="s">
        <v>34</v>
      </c>
      <c r="B10" t="s">
        <v>226</v>
      </c>
    </row>
    <row r="11" spans="1:2" x14ac:dyDescent="0.3">
      <c r="A11" t="s">
        <v>35</v>
      </c>
      <c r="B11" t="s">
        <v>227</v>
      </c>
    </row>
    <row r="12" spans="1:2" x14ac:dyDescent="0.3">
      <c r="A12" t="s">
        <v>36</v>
      </c>
      <c r="B12" t="s">
        <v>230</v>
      </c>
    </row>
    <row r="13" spans="1:2" x14ac:dyDescent="0.3">
      <c r="A13" t="s">
        <v>37</v>
      </c>
      <c r="B13" t="s">
        <v>228</v>
      </c>
    </row>
    <row r="14" spans="1:2" x14ac:dyDescent="0.3">
      <c r="A14" t="s">
        <v>229</v>
      </c>
      <c r="B14" t="s">
        <v>231</v>
      </c>
    </row>
    <row r="15" spans="1:2" x14ac:dyDescent="0.3">
      <c r="A15" t="s">
        <v>232</v>
      </c>
      <c r="B15" t="s">
        <v>233</v>
      </c>
    </row>
    <row r="16" spans="1:2" x14ac:dyDescent="0.3">
      <c r="A16" t="s">
        <v>234</v>
      </c>
      <c r="B16" t="s">
        <v>235</v>
      </c>
    </row>
    <row r="17" spans="1:2" x14ac:dyDescent="0.3">
      <c r="A17" t="s">
        <v>236</v>
      </c>
      <c r="B17" t="s">
        <v>237</v>
      </c>
    </row>
    <row r="18" spans="1:2" x14ac:dyDescent="0.3">
      <c r="A18" t="s">
        <v>238</v>
      </c>
      <c r="B18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BB4C-4C8A-475B-87E9-838283850749}">
  <dimension ref="A1:O73"/>
  <sheetViews>
    <sheetView workbookViewId="0">
      <selection sqref="A1:O1048576"/>
    </sheetView>
  </sheetViews>
  <sheetFormatPr baseColWidth="10" defaultRowHeight="14.4" x14ac:dyDescent="0.3"/>
  <cols>
    <col min="1" max="1" width="9.5546875" customWidth="1"/>
    <col min="2" max="2" width="9.33203125" customWidth="1"/>
    <col min="4" max="4" width="11.6640625" customWidth="1"/>
    <col min="5" max="6" width="9.33203125" customWidth="1"/>
    <col min="7" max="7" width="9.5546875" customWidth="1"/>
    <col min="8" max="8" width="20.88671875" customWidth="1"/>
  </cols>
  <sheetData>
    <row r="1" spans="1:15" x14ac:dyDescent="0.3">
      <c r="A1" t="s">
        <v>0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0</v>
      </c>
    </row>
    <row r="2" spans="1:15" x14ac:dyDescent="0.3">
      <c r="A2" s="1">
        <v>13212</v>
      </c>
      <c r="B2" s="1">
        <v>347</v>
      </c>
      <c r="C2" s="1" t="s">
        <v>12</v>
      </c>
      <c r="D2" s="1" t="s">
        <v>22</v>
      </c>
      <c r="E2" s="1" t="s">
        <v>14</v>
      </c>
      <c r="F2" s="1" t="s">
        <v>20</v>
      </c>
      <c r="G2" s="1" t="s">
        <v>17</v>
      </c>
      <c r="I2">
        <v>21132</v>
      </c>
      <c r="K2" t="str">
        <f>_xlfn.XLOOKUP(I2, A2:A73, C2:C73)</f>
        <v>Girls</v>
      </c>
      <c r="L2" t="str">
        <f>_xlfn.XLOOKUP(I2, A2:A73, D2:D73)</f>
        <v>6–9 years</v>
      </c>
      <c r="M2" t="str">
        <f>_xlfn.XLOOKUP(I2, A2:A73, E2:E73)</f>
        <v>Urban</v>
      </c>
      <c r="N2" t="str">
        <f>_xlfn.XLOOKUP(I2, A2:A73, F2:F73)</f>
        <v>Non-Manual Workers</v>
      </c>
      <c r="O2" t="str">
        <f>_xlfn.XLOOKUP(I2, A2:A73, G2:G73)</f>
        <v>Pre</v>
      </c>
    </row>
    <row r="3" spans="1:15" x14ac:dyDescent="0.3">
      <c r="A3" s="1">
        <v>21132</v>
      </c>
      <c r="B3" s="1">
        <v>514</v>
      </c>
      <c r="C3" s="1" t="s">
        <v>23</v>
      </c>
      <c r="D3" s="1" t="s">
        <v>13</v>
      </c>
      <c r="E3" s="1" t="s">
        <v>19</v>
      </c>
      <c r="F3" s="1" t="s">
        <v>15</v>
      </c>
      <c r="G3" s="1" t="s">
        <v>17</v>
      </c>
      <c r="I3">
        <v>13212</v>
      </c>
      <c r="K3" t="str">
        <f>_xlfn.XLOOKUP(I3, A2:A73, C2:C73)</f>
        <v>Boys</v>
      </c>
      <c r="L3" t="str">
        <f>_xlfn.XLOOKUP(I3, A2:A73, D2:D73)</f>
        <v>13–15 years</v>
      </c>
      <c r="M3" t="str">
        <f>_xlfn.XLOOKUP(I3, A2:A73, E2:E73)</f>
        <v>Rural</v>
      </c>
      <c r="N3" t="str">
        <f>_xlfn.XLOOKUP(I3, A2:A73, F2:F73)</f>
        <v>Manual Workers</v>
      </c>
      <c r="O3" t="str">
        <f>_xlfn.XLOOKUP(I3, A2:A73, G2:G73)</f>
        <v>Pre</v>
      </c>
    </row>
    <row r="4" spans="1:15" x14ac:dyDescent="0.3">
      <c r="A4" s="1">
        <v>12222</v>
      </c>
      <c r="B4" s="1">
        <v>364</v>
      </c>
      <c r="C4" s="1" t="s">
        <v>12</v>
      </c>
      <c r="D4" s="1" t="s">
        <v>21</v>
      </c>
      <c r="E4" s="1" t="s">
        <v>18</v>
      </c>
      <c r="F4" s="1" t="s">
        <v>20</v>
      </c>
      <c r="G4" s="1" t="s">
        <v>17</v>
      </c>
      <c r="I4">
        <v>12222</v>
      </c>
      <c r="K4" t="str">
        <f>_xlfn.XLOOKUP(I4, A2:A73, C2:C73)</f>
        <v>Boys</v>
      </c>
      <c r="L4" t="str">
        <f>_xlfn.XLOOKUP(I4, A2:A73, D2:D73)</f>
        <v>10–12 years</v>
      </c>
      <c r="M4" t="str">
        <f>_xlfn.XLOOKUP(I4, A2:A73, E2:E73)</f>
        <v>Semi-urban</v>
      </c>
      <c r="N4" t="str">
        <f>_xlfn.XLOOKUP(I4, A2:A73, F2:F73)</f>
        <v>Manual Workers</v>
      </c>
      <c r="O4" t="str">
        <f>_xlfn.XLOOKUP(I4, A2:A73, G2:G73)</f>
        <v>Pre</v>
      </c>
    </row>
    <row r="5" spans="1:15" x14ac:dyDescent="0.3">
      <c r="A5" s="1">
        <v>21222</v>
      </c>
      <c r="B5" s="1">
        <v>399</v>
      </c>
      <c r="C5" s="1" t="s">
        <v>23</v>
      </c>
      <c r="D5" s="1" t="s">
        <v>13</v>
      </c>
      <c r="E5" s="1" t="s">
        <v>18</v>
      </c>
      <c r="F5" s="1" t="s">
        <v>20</v>
      </c>
      <c r="G5" s="1" t="s">
        <v>17</v>
      </c>
      <c r="I5">
        <v>21222</v>
      </c>
      <c r="K5" t="str">
        <f>_xlfn.XLOOKUP(I5, A2:A73, C2:C73)</f>
        <v>Girls</v>
      </c>
      <c r="L5" t="str">
        <f>_xlfn.XLOOKUP(I5, A2:A73, D2:D73)</f>
        <v>6–9 years</v>
      </c>
      <c r="M5" t="str">
        <f>_xlfn.XLOOKUP(I5, A2:A73, E2:E73)</f>
        <v>Semi-urban</v>
      </c>
      <c r="N5" t="str">
        <f>_xlfn.XLOOKUP(I5, A2:A73, F2:F73)</f>
        <v>Manual Workers</v>
      </c>
      <c r="O5" t="str">
        <f>_xlfn.XLOOKUP(I5, A2:A73, G2:G73)</f>
        <v>Pre</v>
      </c>
    </row>
    <row r="6" spans="1:15" x14ac:dyDescent="0.3">
      <c r="A6" s="1">
        <v>13232</v>
      </c>
      <c r="B6" s="1">
        <v>543</v>
      </c>
      <c r="C6" s="1" t="s">
        <v>12</v>
      </c>
      <c r="D6" s="1" t="s">
        <v>22</v>
      </c>
      <c r="E6" s="1" t="s">
        <v>19</v>
      </c>
      <c r="F6" s="1" t="s">
        <v>20</v>
      </c>
      <c r="G6" s="1" t="s">
        <v>17</v>
      </c>
      <c r="I6">
        <v>23131</v>
      </c>
      <c r="K6" t="str">
        <f>_xlfn.XLOOKUP(I6, A2:A73, C2:C73)</f>
        <v>Girls</v>
      </c>
      <c r="L6" t="str">
        <f>_xlfn.XLOOKUP(I6, A2:A73, D2:D73)</f>
        <v>13–15 years</v>
      </c>
      <c r="M6" t="str">
        <f>_xlfn.XLOOKUP(I6, A2:A73, E2:E73)</f>
        <v>Urban</v>
      </c>
      <c r="N6" t="str">
        <f>_xlfn.XLOOKUP(I6, A2:A73, F2:F73)</f>
        <v>Non-Manual Workers</v>
      </c>
      <c r="O6" t="str">
        <f>_xlfn.XLOOKUP(I6, A2:A73, G2:G73)</f>
        <v>Post</v>
      </c>
    </row>
    <row r="7" spans="1:15" x14ac:dyDescent="0.3">
      <c r="A7">
        <v>23131</v>
      </c>
      <c r="B7">
        <v>222</v>
      </c>
      <c r="C7" t="s">
        <v>23</v>
      </c>
      <c r="D7" t="s">
        <v>22</v>
      </c>
      <c r="E7" t="s">
        <v>19</v>
      </c>
      <c r="F7" t="s">
        <v>15</v>
      </c>
      <c r="G7" t="s">
        <v>16</v>
      </c>
      <c r="I7">
        <v>13232</v>
      </c>
      <c r="K7" t="str">
        <f>_xlfn.XLOOKUP(I7, A2:A73, C2:C73)</f>
        <v>Boys</v>
      </c>
      <c r="L7" t="str">
        <f>_xlfn.XLOOKUP(I7, A2:A73, D2:D73)</f>
        <v>13–15 years</v>
      </c>
      <c r="M7" t="str">
        <f>_xlfn.XLOOKUP(I7, A2:A73, E2:E73)</f>
        <v>Urban</v>
      </c>
      <c r="N7" t="str">
        <f>_xlfn.XLOOKUP(I7, A2:A73, F2:F73)</f>
        <v>Manual Workers</v>
      </c>
      <c r="O7" t="str">
        <f>_xlfn.XLOOKUP(I7, A2:A73, G2:G73)</f>
        <v>Pre</v>
      </c>
    </row>
    <row r="8" spans="1:15" x14ac:dyDescent="0.3">
      <c r="A8">
        <v>13211</v>
      </c>
      <c r="B8">
        <v>142</v>
      </c>
      <c r="C8" t="s">
        <v>12</v>
      </c>
      <c r="D8" t="s">
        <v>22</v>
      </c>
      <c r="E8" t="s">
        <v>14</v>
      </c>
      <c r="F8" t="s">
        <v>20</v>
      </c>
      <c r="G8" t="s">
        <v>16</v>
      </c>
      <c r="I8">
        <v>13211</v>
      </c>
      <c r="K8" t="str">
        <f>_xlfn.XLOOKUP(I8, A2:A73, C2:C73)</f>
        <v>Boys</v>
      </c>
      <c r="L8" t="str">
        <f>_xlfn.XLOOKUP(I8, A2:A73, D2:D73)</f>
        <v>13–15 years</v>
      </c>
      <c r="M8" t="str">
        <f>_xlfn.XLOOKUP(I8, A2:A73, E2:E73)</f>
        <v>Rural</v>
      </c>
      <c r="N8" t="str">
        <f>_xlfn.XLOOKUP(I8, A2:A73, F2:F73)</f>
        <v>Manual Workers</v>
      </c>
      <c r="O8" t="str">
        <f>_xlfn.XLOOKUP(I8, A2:A73, G2:G73)</f>
        <v>Post</v>
      </c>
    </row>
    <row r="9" spans="1:15" x14ac:dyDescent="0.3">
      <c r="A9">
        <v>13222</v>
      </c>
      <c r="B9">
        <v>377</v>
      </c>
      <c r="C9" t="s">
        <v>12</v>
      </c>
      <c r="D9" t="s">
        <v>22</v>
      </c>
      <c r="E9" t="s">
        <v>18</v>
      </c>
      <c r="F9" t="s">
        <v>20</v>
      </c>
      <c r="G9" t="s">
        <v>17</v>
      </c>
      <c r="I9">
        <v>23121</v>
      </c>
      <c r="K9" t="str">
        <f>_xlfn.XLOOKUP(I9, A2:A73, C2:C73)</f>
        <v>Girls</v>
      </c>
      <c r="L9" t="str">
        <f>_xlfn.XLOOKUP(I9, A2:A73, D2:D73)</f>
        <v>13–15 years</v>
      </c>
      <c r="M9" t="str">
        <f>_xlfn.XLOOKUP(I9, A2:A73, E2:E73)</f>
        <v>Semi-urban</v>
      </c>
      <c r="N9" t="str">
        <f>_xlfn.XLOOKUP(I9, A2:A73, F2:F73)</f>
        <v>Non-Manual Workers</v>
      </c>
      <c r="O9" t="str">
        <f>_xlfn.XLOOKUP(I9, A2:A73, G2:G73)</f>
        <v>Post</v>
      </c>
    </row>
    <row r="10" spans="1:15" x14ac:dyDescent="0.3">
      <c r="A10">
        <v>23121</v>
      </c>
      <c r="B10">
        <v>119</v>
      </c>
      <c r="C10" t="s">
        <v>23</v>
      </c>
      <c r="D10" t="s">
        <v>22</v>
      </c>
      <c r="E10" t="s">
        <v>18</v>
      </c>
      <c r="F10" t="s">
        <v>15</v>
      </c>
      <c r="G10" t="s">
        <v>16</v>
      </c>
      <c r="I10">
        <v>12232</v>
      </c>
      <c r="K10" t="str">
        <f>_xlfn.XLOOKUP(I10, A2:A73, C2:C73)</f>
        <v>Boys</v>
      </c>
      <c r="L10" t="str">
        <f>_xlfn.XLOOKUP(I10, A2:A73, D2:D73)</f>
        <v>10–12 years</v>
      </c>
      <c r="M10" t="str">
        <f>_xlfn.XLOOKUP(I10, A2:A73, E2:E73)</f>
        <v>Urban</v>
      </c>
      <c r="N10" t="str">
        <f>_xlfn.XLOOKUP(I10, A2:A73, F2:F73)</f>
        <v>Manual Workers</v>
      </c>
      <c r="O10" t="str">
        <f>_xlfn.XLOOKUP(I10, A2:A73, G2:G73)</f>
        <v>Pre</v>
      </c>
    </row>
    <row r="11" spans="1:15" x14ac:dyDescent="0.3">
      <c r="A11">
        <v>12232</v>
      </c>
      <c r="B11">
        <v>511</v>
      </c>
      <c r="C11" t="s">
        <v>12</v>
      </c>
      <c r="D11" t="s">
        <v>21</v>
      </c>
      <c r="E11" t="s">
        <v>19</v>
      </c>
      <c r="F11" t="s">
        <v>20</v>
      </c>
      <c r="G11" t="s">
        <v>17</v>
      </c>
      <c r="I11">
        <v>13222</v>
      </c>
      <c r="K11" t="str">
        <f>_xlfn.XLOOKUP(I11, A2:A73, C2:C73)</f>
        <v>Boys</v>
      </c>
      <c r="L11" t="str">
        <f>_xlfn.XLOOKUP(I11, A2:A73, D2:D73)</f>
        <v>13–15 years</v>
      </c>
      <c r="M11" t="str">
        <f>_xlfn.XLOOKUP(I11, A2:A73, E2:E73)</f>
        <v>Semi-urban</v>
      </c>
      <c r="N11" t="str">
        <f>_xlfn.XLOOKUP(I11, A2:A73, F2:F73)</f>
        <v>Manual Workers</v>
      </c>
      <c r="O11" t="str">
        <f>_xlfn.XLOOKUP(I11, A2:A73, G2:G73)</f>
        <v>Pre</v>
      </c>
    </row>
    <row r="12" spans="1:15" x14ac:dyDescent="0.3">
      <c r="A12">
        <v>21121</v>
      </c>
      <c r="B12">
        <v>128</v>
      </c>
      <c r="C12" t="s">
        <v>23</v>
      </c>
      <c r="D12" t="s">
        <v>13</v>
      </c>
      <c r="E12" t="s">
        <v>18</v>
      </c>
      <c r="F12" t="s">
        <v>15</v>
      </c>
      <c r="G12" t="s">
        <v>16</v>
      </c>
      <c r="I12">
        <v>13132</v>
      </c>
      <c r="K12" t="str">
        <f>_xlfn.XLOOKUP(I12, A2:A73, C2:C73)</f>
        <v>Boys</v>
      </c>
      <c r="L12" t="str">
        <f>_xlfn.XLOOKUP(I12, A2:A73, D2:D73)</f>
        <v>13–15 years</v>
      </c>
      <c r="M12" t="str">
        <f>_xlfn.XLOOKUP(I12, A2:A73, E2:E73)</f>
        <v>Urban</v>
      </c>
      <c r="N12" t="str">
        <f>_xlfn.XLOOKUP(I12, A2:A73, F2:F73)</f>
        <v>Non-Manual Workers</v>
      </c>
      <c r="O12" t="str">
        <f>_xlfn.XLOOKUP(I12, A2:A73, G2:G73)</f>
        <v>Pre</v>
      </c>
    </row>
    <row r="13" spans="1:15" x14ac:dyDescent="0.3">
      <c r="A13">
        <v>13131</v>
      </c>
      <c r="B13">
        <v>225</v>
      </c>
      <c r="C13" t="s">
        <v>12</v>
      </c>
      <c r="D13" t="s">
        <v>22</v>
      </c>
      <c r="E13" t="s">
        <v>19</v>
      </c>
      <c r="F13" t="s">
        <v>15</v>
      </c>
      <c r="G13" t="s">
        <v>16</v>
      </c>
      <c r="I13">
        <v>21121</v>
      </c>
      <c r="K13" t="str">
        <f>_xlfn.XLOOKUP(I13, A2:A73, C2:C73)</f>
        <v>Girls</v>
      </c>
      <c r="L13" t="str">
        <f>_xlfn.XLOOKUP(I13, A2:A73, D2:D73)</f>
        <v>6–9 years</v>
      </c>
      <c r="M13" t="str">
        <f>_xlfn.XLOOKUP(I13, A2:A73, E2:E73)</f>
        <v>Semi-urban</v>
      </c>
      <c r="N13" t="str">
        <f>_xlfn.XLOOKUP(I13, A2:A73, F2:F73)</f>
        <v>Non-Manual Workers</v>
      </c>
      <c r="O13" t="str">
        <f>_xlfn.XLOOKUP(I13, A2:A73, G2:G73)</f>
        <v>Post</v>
      </c>
    </row>
    <row r="14" spans="1:15" x14ac:dyDescent="0.3">
      <c r="A14">
        <v>13231</v>
      </c>
      <c r="B14">
        <v>225</v>
      </c>
      <c r="C14" t="s">
        <v>12</v>
      </c>
      <c r="D14" t="s">
        <v>22</v>
      </c>
      <c r="E14" t="s">
        <v>19</v>
      </c>
      <c r="F14" t="s">
        <v>20</v>
      </c>
      <c r="G14" t="s">
        <v>16</v>
      </c>
      <c r="I14">
        <v>21122</v>
      </c>
      <c r="K14" t="str">
        <f>_xlfn.XLOOKUP(I14, A2:A73, C2:C73)</f>
        <v>Girls</v>
      </c>
      <c r="L14" t="str">
        <f>_xlfn.XLOOKUP(I14, A2:A73, D2:D73)</f>
        <v>6–9 years</v>
      </c>
      <c r="M14" t="str">
        <f>_xlfn.XLOOKUP(I14, A2:A73, E2:E73)</f>
        <v>Semi-urban</v>
      </c>
      <c r="N14" t="str">
        <f>_xlfn.XLOOKUP(I14, A2:A73, F2:F73)</f>
        <v>Non-Manual Workers</v>
      </c>
      <c r="O14" t="str">
        <f>_xlfn.XLOOKUP(I14, A2:A73, G2:G73)</f>
        <v>Pre</v>
      </c>
    </row>
    <row r="15" spans="1:15" x14ac:dyDescent="0.3">
      <c r="A15">
        <v>22121</v>
      </c>
      <c r="B15">
        <v>128</v>
      </c>
      <c r="C15" t="s">
        <v>23</v>
      </c>
      <c r="D15" t="s">
        <v>21</v>
      </c>
      <c r="E15" t="s">
        <v>18</v>
      </c>
      <c r="F15" t="s">
        <v>15</v>
      </c>
      <c r="G15" t="s">
        <v>16</v>
      </c>
      <c r="I15">
        <v>13131</v>
      </c>
      <c r="K15" t="str">
        <f>_xlfn.XLOOKUP(I15, A2:A73, C2:C73)</f>
        <v>Boys</v>
      </c>
      <c r="L15" t="str">
        <f>_xlfn.XLOOKUP(I15, A2:A73, D2:D73)</f>
        <v>13–15 years</v>
      </c>
      <c r="M15" t="str">
        <f>_xlfn.XLOOKUP(I15, A2:A73, E2:E73)</f>
        <v>Urban</v>
      </c>
      <c r="N15" t="str">
        <f>_xlfn.XLOOKUP(I15, A2:A73, F2:F73)</f>
        <v>Non-Manual Workers</v>
      </c>
      <c r="O15" t="str">
        <f>_xlfn.XLOOKUP(I15, A2:A73, G2:G73)</f>
        <v>Post</v>
      </c>
    </row>
    <row r="16" spans="1:15" x14ac:dyDescent="0.3">
      <c r="A16">
        <v>13221</v>
      </c>
      <c r="B16">
        <v>192</v>
      </c>
      <c r="C16" t="s">
        <v>12</v>
      </c>
      <c r="D16" t="s">
        <v>22</v>
      </c>
      <c r="E16" t="s">
        <v>18</v>
      </c>
      <c r="F16" t="s">
        <v>20</v>
      </c>
      <c r="G16" t="s">
        <v>16</v>
      </c>
      <c r="I16">
        <v>22121</v>
      </c>
      <c r="K16" t="str">
        <f>_xlfn.XLOOKUP(I16, A2:A73, C2:C73)</f>
        <v>Girls</v>
      </c>
      <c r="L16" t="str">
        <f>_xlfn.XLOOKUP(I16, A2:A73, D2:D73)</f>
        <v>10–12 years</v>
      </c>
      <c r="M16" t="str">
        <f>_xlfn.XLOOKUP(I16, A2:A73, E2:E73)</f>
        <v>Semi-urban</v>
      </c>
      <c r="N16" t="str">
        <f>_xlfn.XLOOKUP(I16, A2:A73, F2:F73)</f>
        <v>Non-Manual Workers</v>
      </c>
      <c r="O16" t="str">
        <f>_xlfn.XLOOKUP(I16, A2:A73, G2:G73)</f>
        <v>Post</v>
      </c>
    </row>
    <row r="17" spans="1:15" x14ac:dyDescent="0.3">
      <c r="A17">
        <v>13132</v>
      </c>
      <c r="B17">
        <v>497</v>
      </c>
      <c r="C17" t="s">
        <v>12</v>
      </c>
      <c r="D17" t="s">
        <v>22</v>
      </c>
      <c r="E17" t="s">
        <v>19</v>
      </c>
      <c r="F17" t="s">
        <v>15</v>
      </c>
      <c r="G17" t="s">
        <v>17</v>
      </c>
      <c r="I17">
        <v>21232</v>
      </c>
      <c r="K17" t="str">
        <f>_xlfn.XLOOKUP(I17, A2:A73, C2:C73)</f>
        <v>Girls</v>
      </c>
      <c r="L17" t="str">
        <f>_xlfn.XLOOKUP(I17, A2:A73, D2:D73)</f>
        <v>6–9 years</v>
      </c>
      <c r="M17" t="str">
        <f>_xlfn.XLOOKUP(I17, A2:A73, E2:E73)</f>
        <v>Urban</v>
      </c>
      <c r="N17" t="str">
        <f>_xlfn.XLOOKUP(I17, A2:A73, F2:F73)</f>
        <v>Manual Workers</v>
      </c>
      <c r="O17" t="str">
        <f>_xlfn.XLOOKUP(I17, A2:A73, G2:G73)</f>
        <v>Pre</v>
      </c>
    </row>
    <row r="18" spans="1:15" x14ac:dyDescent="0.3">
      <c r="A18">
        <v>21122</v>
      </c>
      <c r="B18">
        <v>307</v>
      </c>
      <c r="C18" t="s">
        <v>23</v>
      </c>
      <c r="D18" t="s">
        <v>13</v>
      </c>
      <c r="E18" t="s">
        <v>18</v>
      </c>
      <c r="F18" t="s">
        <v>15</v>
      </c>
      <c r="G18" t="s">
        <v>17</v>
      </c>
      <c r="I18">
        <v>13221</v>
      </c>
      <c r="K18" t="str">
        <f>_xlfn.XLOOKUP(I18, A2:A73, C2:C73)</f>
        <v>Boys</v>
      </c>
      <c r="L18" t="str">
        <f>_xlfn.XLOOKUP(I18, A2:A73, D2:D73)</f>
        <v>13–15 years</v>
      </c>
      <c r="M18" t="str">
        <f>_xlfn.XLOOKUP(I18, A2:A73, E2:E73)</f>
        <v>Semi-urban</v>
      </c>
      <c r="N18" t="str">
        <f>_xlfn.XLOOKUP(I18, A2:A73, F2:F73)</f>
        <v>Manual Workers</v>
      </c>
      <c r="O18" t="str">
        <f>_xlfn.XLOOKUP(I18, A2:A73, G2:G73)</f>
        <v>Post</v>
      </c>
    </row>
    <row r="19" spans="1:15" x14ac:dyDescent="0.3">
      <c r="A19">
        <v>22111</v>
      </c>
      <c r="B19">
        <v>77</v>
      </c>
      <c r="C19" t="s">
        <v>23</v>
      </c>
      <c r="D19" t="s">
        <v>21</v>
      </c>
      <c r="E19" t="s">
        <v>14</v>
      </c>
      <c r="F19" t="s">
        <v>15</v>
      </c>
      <c r="G19" t="s">
        <v>16</v>
      </c>
      <c r="I19">
        <v>23212</v>
      </c>
      <c r="K19" t="str">
        <f>_xlfn.XLOOKUP(I19, A2:A73, C2:C73)</f>
        <v>Girls</v>
      </c>
      <c r="L19" t="str">
        <f>_xlfn.XLOOKUP(I19, A2:A73, D2:D73)</f>
        <v>13–15 years</v>
      </c>
      <c r="M19" t="str">
        <f>_xlfn.XLOOKUP(I19, A2:A73, E2:E73)</f>
        <v>Rural</v>
      </c>
      <c r="N19" t="str">
        <f>_xlfn.XLOOKUP(I19, A2:A73, F2:F73)</f>
        <v>Manual Workers</v>
      </c>
      <c r="O19" t="str">
        <f>_xlfn.XLOOKUP(I19, A2:A73, G2:G73)</f>
        <v>Pre</v>
      </c>
    </row>
    <row r="20" spans="1:15" x14ac:dyDescent="0.3">
      <c r="A20">
        <v>22211</v>
      </c>
      <c r="B20">
        <v>144</v>
      </c>
      <c r="C20" t="s">
        <v>23</v>
      </c>
      <c r="D20" t="s">
        <v>21</v>
      </c>
      <c r="E20" t="s">
        <v>14</v>
      </c>
      <c r="F20" t="s">
        <v>20</v>
      </c>
      <c r="G20" t="s">
        <v>16</v>
      </c>
      <c r="I20">
        <v>21211</v>
      </c>
      <c r="K20" t="str">
        <f>_xlfn.XLOOKUP(I20, A2:A73, C2:C73)</f>
        <v>Girls</v>
      </c>
      <c r="L20" t="str">
        <f>_xlfn.XLOOKUP(I20, A2:A73, D2:D73)</f>
        <v>6–9 years</v>
      </c>
      <c r="M20" t="str">
        <f>_xlfn.XLOOKUP(I20, A2:A73, E2:E73)</f>
        <v>Rural</v>
      </c>
      <c r="N20" t="str">
        <f>_xlfn.XLOOKUP(I20, A2:A73, F2:F73)</f>
        <v>Manual Workers</v>
      </c>
      <c r="O20" t="str">
        <f>_xlfn.XLOOKUP(I20, A2:A73, G2:G73)</f>
        <v>Post</v>
      </c>
    </row>
    <row r="21" spans="1:15" x14ac:dyDescent="0.3">
      <c r="A21">
        <v>21232</v>
      </c>
      <c r="B21">
        <v>544</v>
      </c>
      <c r="C21" t="s">
        <v>23</v>
      </c>
      <c r="D21" t="s">
        <v>13</v>
      </c>
      <c r="E21" t="s">
        <v>19</v>
      </c>
      <c r="F21" t="s">
        <v>20</v>
      </c>
      <c r="G21" t="s">
        <v>17</v>
      </c>
      <c r="I21">
        <v>22211</v>
      </c>
      <c r="K21" t="str">
        <f>_xlfn.XLOOKUP(I21, A2:A73, C2:C73)</f>
        <v>Girls</v>
      </c>
      <c r="L21" t="str">
        <f>_xlfn.XLOOKUP(I21, A2:A73, D2:D73)</f>
        <v>10–12 years</v>
      </c>
      <c r="M21" t="str">
        <f>_xlfn.XLOOKUP(I21, A2:A73, E2:E73)</f>
        <v>Rural</v>
      </c>
      <c r="N21" t="str">
        <f>_xlfn.XLOOKUP(I21, A2:A73, F2:F73)</f>
        <v>Manual Workers</v>
      </c>
      <c r="O21" t="str">
        <f>_xlfn.XLOOKUP(I21, A2:A73, G2:G73)</f>
        <v>Post</v>
      </c>
    </row>
    <row r="22" spans="1:15" x14ac:dyDescent="0.3">
      <c r="A22">
        <v>21211</v>
      </c>
      <c r="B22">
        <v>138</v>
      </c>
      <c r="C22" t="s">
        <v>23</v>
      </c>
      <c r="D22" t="s">
        <v>13</v>
      </c>
      <c r="E22" t="s">
        <v>14</v>
      </c>
      <c r="F22" t="s">
        <v>20</v>
      </c>
      <c r="G22" t="s">
        <v>16</v>
      </c>
      <c r="I22">
        <v>13231</v>
      </c>
      <c r="K22" t="str">
        <f>_xlfn.XLOOKUP(I22, A2:A73, C2:C73)</f>
        <v>Boys</v>
      </c>
      <c r="L22" t="str">
        <f>_xlfn.XLOOKUP(I22, A2:A73, D2:D73)</f>
        <v>13–15 years</v>
      </c>
      <c r="M22" t="str">
        <f>_xlfn.XLOOKUP(I22, A2:A73, E2:E73)</f>
        <v>Urban</v>
      </c>
      <c r="N22" t="str">
        <f>_xlfn.XLOOKUP(I22, A2:A73, F2:F73)</f>
        <v>Manual Workers</v>
      </c>
      <c r="O22" t="str">
        <f>_xlfn.XLOOKUP(I22, A2:A73, G2:G73)</f>
        <v>Post</v>
      </c>
    </row>
    <row r="23" spans="1:15" x14ac:dyDescent="0.3">
      <c r="A23">
        <v>23212</v>
      </c>
      <c r="B23">
        <v>314</v>
      </c>
      <c r="C23" t="s">
        <v>23</v>
      </c>
      <c r="D23" t="s">
        <v>22</v>
      </c>
      <c r="E23" t="s">
        <v>14</v>
      </c>
      <c r="F23" t="s">
        <v>20</v>
      </c>
      <c r="G23" t="s">
        <v>17</v>
      </c>
      <c r="I23">
        <v>22132</v>
      </c>
      <c r="K23" t="str">
        <f>_xlfn.XLOOKUP(I23, A2:A73, C2:C73)</f>
        <v>Girls</v>
      </c>
      <c r="L23" t="str">
        <f>_xlfn.XLOOKUP(I23, A2:A73, D2:D73)</f>
        <v>10–12 years</v>
      </c>
      <c r="M23" t="str">
        <f>_xlfn.XLOOKUP(I23, A2:A73, E2:E73)</f>
        <v>Urban</v>
      </c>
      <c r="N23" t="str">
        <f>_xlfn.XLOOKUP(I23, A2:A73, F2:F73)</f>
        <v>Non-Manual Workers</v>
      </c>
      <c r="O23" t="str">
        <f>_xlfn.XLOOKUP(I23, A2:A73, G2:G73)</f>
        <v>Pre</v>
      </c>
    </row>
    <row r="24" spans="1:15" x14ac:dyDescent="0.3">
      <c r="A24">
        <v>22132</v>
      </c>
      <c r="B24">
        <v>418</v>
      </c>
      <c r="C24" t="s">
        <v>23</v>
      </c>
      <c r="D24" t="s">
        <v>21</v>
      </c>
      <c r="E24" t="s">
        <v>19</v>
      </c>
      <c r="F24" t="s">
        <v>15</v>
      </c>
      <c r="G24" t="s">
        <v>17</v>
      </c>
      <c r="I24">
        <v>22111</v>
      </c>
      <c r="K24" t="str">
        <f>_xlfn.XLOOKUP(I24, A2:A73, C2:C73)</f>
        <v>Girls</v>
      </c>
      <c r="L24" t="str">
        <f>_xlfn.XLOOKUP(I24, A2:A73, D2:D73)</f>
        <v>10–12 years</v>
      </c>
      <c r="M24" t="str">
        <f>_xlfn.XLOOKUP(I24, A2:A73, E2:E73)</f>
        <v>Rural</v>
      </c>
      <c r="N24" t="str">
        <f>_xlfn.XLOOKUP(I24, A2:A73, F2:F73)</f>
        <v>Non-Manual Workers</v>
      </c>
      <c r="O24" t="str">
        <f>_xlfn.XLOOKUP(I24, A2:A73, G2:G73)</f>
        <v>Post</v>
      </c>
    </row>
    <row r="25" spans="1:15" x14ac:dyDescent="0.3">
      <c r="A25">
        <v>11121</v>
      </c>
      <c r="B25">
        <v>151</v>
      </c>
      <c r="C25" t="s">
        <v>12</v>
      </c>
      <c r="D25" t="s">
        <v>13</v>
      </c>
      <c r="E25" t="s">
        <v>18</v>
      </c>
      <c r="F25" t="s">
        <v>15</v>
      </c>
      <c r="G25" t="s">
        <v>16</v>
      </c>
      <c r="I25">
        <v>11121</v>
      </c>
      <c r="K25" t="str">
        <f>_xlfn.XLOOKUP(I25, A2:A73, C2:C73)</f>
        <v>Boys</v>
      </c>
      <c r="L25" t="str">
        <f>_xlfn.XLOOKUP(I25, A2:A73, D2:D73)</f>
        <v>6–9 years</v>
      </c>
      <c r="M25" t="str">
        <f>_xlfn.XLOOKUP(I25, A2:A73, E2:E73)</f>
        <v>Semi-urban</v>
      </c>
      <c r="N25" t="str">
        <f>_xlfn.XLOOKUP(I25, A2:A73, F2:F73)</f>
        <v>Non-Manual Workers</v>
      </c>
      <c r="O25" t="str">
        <f>_xlfn.XLOOKUP(I25, A2:A73, G2:G73)</f>
        <v>Post</v>
      </c>
    </row>
    <row r="26" spans="1:15" x14ac:dyDescent="0.3">
      <c r="A26">
        <v>23221</v>
      </c>
      <c r="B26">
        <v>157</v>
      </c>
      <c r="C26" t="s">
        <v>23</v>
      </c>
      <c r="D26" t="s">
        <v>22</v>
      </c>
      <c r="E26" t="s">
        <v>18</v>
      </c>
      <c r="F26" t="s">
        <v>20</v>
      </c>
      <c r="G26" t="s">
        <v>16</v>
      </c>
      <c r="I26">
        <v>21131</v>
      </c>
      <c r="K26" t="str">
        <f>_xlfn.XLOOKUP(I26, A2:A73, C2:C73)</f>
        <v>Girls</v>
      </c>
      <c r="L26" t="str">
        <f>_xlfn.XLOOKUP(I26, A2:A73, D2:D73)</f>
        <v>6–9 years</v>
      </c>
      <c r="M26" t="str">
        <f>_xlfn.XLOOKUP(I26, A2:A73, E2:E73)</f>
        <v>Urban</v>
      </c>
      <c r="N26" t="str">
        <f>_xlfn.XLOOKUP(I26, A2:A73, F2:F73)</f>
        <v>Non-Manual Workers</v>
      </c>
      <c r="O26" t="str">
        <f>_xlfn.XLOOKUP(I26, A2:A73, G2:G73)</f>
        <v>Post</v>
      </c>
    </row>
    <row r="27" spans="1:15" x14ac:dyDescent="0.3">
      <c r="A27">
        <v>22212</v>
      </c>
      <c r="B27">
        <v>308</v>
      </c>
      <c r="C27" t="s">
        <v>23</v>
      </c>
      <c r="D27" t="s">
        <v>21</v>
      </c>
      <c r="E27" t="s">
        <v>14</v>
      </c>
      <c r="F27" t="s">
        <v>20</v>
      </c>
      <c r="G27" t="s">
        <v>17</v>
      </c>
      <c r="I27">
        <v>21111</v>
      </c>
      <c r="K27" t="str">
        <f>_xlfn.XLOOKUP(I27, A2:A73, C2:C73)</f>
        <v>Girls</v>
      </c>
      <c r="L27" t="str">
        <f>_xlfn.XLOOKUP(I27,A2:A73, D2:D73)</f>
        <v>6–9 years</v>
      </c>
      <c r="M27" t="str">
        <f>_xlfn.XLOOKUP(I27, A2:A73, E2:E73)</f>
        <v>Rural</v>
      </c>
      <c r="N27" t="str">
        <f>_xlfn.XLOOKUP(I27, A2:A73, F2:F73)</f>
        <v>Non-Manual Workers</v>
      </c>
      <c r="O27" t="str">
        <f>_xlfn.XLOOKUP(I27, A2:A73, G2:G73)</f>
        <v>Post</v>
      </c>
    </row>
    <row r="28" spans="1:15" x14ac:dyDescent="0.3">
      <c r="A28">
        <v>21111</v>
      </c>
      <c r="B28">
        <v>67</v>
      </c>
      <c r="C28" t="s">
        <v>23</v>
      </c>
      <c r="D28" t="s">
        <v>13</v>
      </c>
      <c r="E28" t="s">
        <v>14</v>
      </c>
      <c r="F28" t="s">
        <v>15</v>
      </c>
      <c r="G28" t="s">
        <v>16</v>
      </c>
      <c r="I28">
        <v>22131</v>
      </c>
      <c r="K28" t="str">
        <f>_xlfn.XLOOKUP(I28, A2:A73, C2:C73)</f>
        <v>Girls</v>
      </c>
      <c r="L28" t="str">
        <f>_xlfn.XLOOKUP(I28, A2:A73, D2:D73)</f>
        <v>10–12 years</v>
      </c>
      <c r="M28" t="str">
        <f>_xlfn.XLOOKUP(I28, A2:A73, E2:E73)</f>
        <v>Urban</v>
      </c>
      <c r="N28" t="str">
        <f>_xlfn.XLOOKUP(I28, A2:A73, F2:F73)</f>
        <v>Non-Manual Workers</v>
      </c>
      <c r="O28" t="str">
        <f>_xlfn.XLOOKUP(I28, A2:A73, G2:G73)</f>
        <v>Post</v>
      </c>
    </row>
    <row r="29" spans="1:15" x14ac:dyDescent="0.3">
      <c r="A29">
        <v>22131</v>
      </c>
      <c r="B29">
        <v>244</v>
      </c>
      <c r="C29" t="s">
        <v>23</v>
      </c>
      <c r="D29" t="s">
        <v>21</v>
      </c>
      <c r="E29" t="s">
        <v>19</v>
      </c>
      <c r="F29" t="s">
        <v>15</v>
      </c>
      <c r="G29" t="s">
        <v>16</v>
      </c>
      <c r="I29">
        <v>13111</v>
      </c>
      <c r="K29" t="str">
        <f>_xlfn.XLOOKUP(I29, A2:A73, C2:C73)</f>
        <v>Boys</v>
      </c>
      <c r="L29" t="str">
        <f>_xlfn.XLOOKUP(I29, A2:A73, D2:D73)</f>
        <v>13–15 years</v>
      </c>
      <c r="M29" t="str">
        <f>_xlfn.XLOOKUP(I29, A2:A73, E2:E73)</f>
        <v>Rural</v>
      </c>
      <c r="N29" t="str">
        <f>_xlfn.XLOOKUP(I29, A2:A73, F2:F73)</f>
        <v>Non-Manual Workers</v>
      </c>
      <c r="O29" t="str">
        <f>_xlfn.XLOOKUP(I29, A2:A73, G2:G73)</f>
        <v>Post</v>
      </c>
    </row>
    <row r="30" spans="1:15" x14ac:dyDescent="0.3">
      <c r="A30">
        <v>22222</v>
      </c>
      <c r="B30">
        <v>336</v>
      </c>
      <c r="C30" t="s">
        <v>23</v>
      </c>
      <c r="D30" t="s">
        <v>21</v>
      </c>
      <c r="E30" t="s">
        <v>18</v>
      </c>
      <c r="F30" t="s">
        <v>20</v>
      </c>
      <c r="G30" t="s">
        <v>17</v>
      </c>
      <c r="I30">
        <v>11221</v>
      </c>
      <c r="K30" t="str">
        <f>_xlfn.XLOOKUP(I30, A2:A73, C2:C73)</f>
        <v>Boys</v>
      </c>
      <c r="L30" t="str">
        <f>_xlfn.XLOOKUP(I30, A2:A73, D2:D73)</f>
        <v>6–9 years</v>
      </c>
      <c r="M30" t="str">
        <f>_xlfn.XLOOKUP(I30, A2:A73, E2:E73)</f>
        <v>Semi-urban</v>
      </c>
      <c r="N30" t="str">
        <f>_xlfn.XLOOKUP(I30, A2:A73, F2:F73)</f>
        <v>Manual Workers</v>
      </c>
      <c r="O30" t="str">
        <f>_xlfn.XLOOKUP(I30, A2:A73, G2:G73)</f>
        <v>Post</v>
      </c>
    </row>
    <row r="31" spans="1:15" x14ac:dyDescent="0.3">
      <c r="A31">
        <v>13111</v>
      </c>
      <c r="B31">
        <v>62</v>
      </c>
      <c r="C31" t="s">
        <v>12</v>
      </c>
      <c r="D31" t="s">
        <v>22</v>
      </c>
      <c r="E31" t="s">
        <v>14</v>
      </c>
      <c r="F31" t="s">
        <v>15</v>
      </c>
      <c r="G31" t="s">
        <v>16</v>
      </c>
      <c r="I31">
        <v>23221</v>
      </c>
      <c r="K31" t="str">
        <f>_xlfn.XLOOKUP(I31, A2:A73, C2:C73)</f>
        <v>Girls</v>
      </c>
      <c r="L31" t="str">
        <f>_xlfn.XLOOKUP(I31, A2:A73, D2:D73)</f>
        <v>13–15 years</v>
      </c>
      <c r="M31" t="str">
        <f>_xlfn.XLOOKUP(I31, A2:A73, E2:E73)</f>
        <v>Semi-urban</v>
      </c>
      <c r="N31" t="str">
        <f>_xlfn.XLOOKUP(I31, A2:A73, F2:F73)</f>
        <v>Manual Workers</v>
      </c>
      <c r="O31" t="str">
        <f>_xlfn.XLOOKUP(I31, A2:A73, G2:G73)</f>
        <v>Post</v>
      </c>
    </row>
    <row r="32" spans="1:15" x14ac:dyDescent="0.3">
      <c r="A32">
        <v>11221</v>
      </c>
      <c r="B32">
        <v>222</v>
      </c>
      <c r="C32" t="s">
        <v>12</v>
      </c>
      <c r="D32" t="s">
        <v>13</v>
      </c>
      <c r="E32" t="s">
        <v>18</v>
      </c>
      <c r="F32" t="s">
        <v>20</v>
      </c>
      <c r="G32" t="s">
        <v>16</v>
      </c>
      <c r="I32">
        <v>22212</v>
      </c>
      <c r="K32" t="str">
        <f>_xlfn.XLOOKUP(I32, A2:A73, C2:C73)</f>
        <v>Girls</v>
      </c>
      <c r="L32" t="str">
        <f>_xlfn.XLOOKUP(I32, A2:A73, D2:D73)</f>
        <v>10–12 years</v>
      </c>
      <c r="M32" t="str">
        <f>_xlfn.XLOOKUP(I32, A2:A73, E2:E73)</f>
        <v>Rural</v>
      </c>
      <c r="N32" t="str">
        <f>_xlfn.XLOOKUP(I32, A2:A73, F2:F73)</f>
        <v>Manual Workers</v>
      </c>
      <c r="O32" t="str">
        <f>_xlfn.XLOOKUP(I32, A2:A73, G2:G73)</f>
        <v>Pre</v>
      </c>
    </row>
    <row r="33" spans="1:15" x14ac:dyDescent="0.3">
      <c r="A33">
        <v>22122</v>
      </c>
      <c r="B33">
        <v>232</v>
      </c>
      <c r="C33" t="s">
        <v>23</v>
      </c>
      <c r="D33" t="s">
        <v>21</v>
      </c>
      <c r="E33" t="s">
        <v>18</v>
      </c>
      <c r="F33" t="s">
        <v>15</v>
      </c>
      <c r="G33" t="s">
        <v>17</v>
      </c>
      <c r="I33">
        <v>22122</v>
      </c>
      <c r="K33" t="str">
        <f>_xlfn.XLOOKUP(I33, A2:A73, C2:C73)</f>
        <v>Girls</v>
      </c>
      <c r="L33" t="str">
        <f>_xlfn.XLOOKUP(I33, A2:A73, D2:D73)</f>
        <v>10–12 years</v>
      </c>
      <c r="M33" t="str">
        <f>_xlfn.XLOOKUP(I33, A2:A73, E2:E73)</f>
        <v>Semi-urban</v>
      </c>
      <c r="N33" t="str">
        <f>_xlfn.XLOOKUP(I33, A2:A73, F2:F73)</f>
        <v>Non-Manual Workers</v>
      </c>
      <c r="O33" t="str">
        <f>_xlfn.XLOOKUP(I33, A2:A73, G2:G73)</f>
        <v>Pre</v>
      </c>
    </row>
    <row r="34" spans="1:15" x14ac:dyDescent="0.3">
      <c r="A34">
        <v>21131</v>
      </c>
      <c r="B34">
        <v>265</v>
      </c>
      <c r="C34" t="s">
        <v>23</v>
      </c>
      <c r="D34" t="s">
        <v>13</v>
      </c>
      <c r="E34" t="s">
        <v>19</v>
      </c>
      <c r="F34" t="s">
        <v>15</v>
      </c>
      <c r="G34" t="s">
        <v>16</v>
      </c>
      <c r="I34">
        <v>22222</v>
      </c>
      <c r="K34" t="str">
        <f>_xlfn.XLOOKUP(I34, A2:A73, C2:C73)</f>
        <v>Girls</v>
      </c>
      <c r="L34" t="str">
        <f>_xlfn.XLOOKUP(I34, A2:A73, D2:D73)</f>
        <v>10–12 years</v>
      </c>
      <c r="M34" t="str">
        <f>_xlfn.XLOOKUP(I34, A2:A73, E2:E73)</f>
        <v>Semi-urban</v>
      </c>
      <c r="N34" t="str">
        <f>_xlfn.XLOOKUP(I34, A2:A73, F2:F73)</f>
        <v>Manual Workers</v>
      </c>
      <c r="O34" t="str">
        <f>_xlfn.XLOOKUP(I34, A2:A73, G2:G73)</f>
        <v>Pre</v>
      </c>
    </row>
    <row r="35" spans="1:15" x14ac:dyDescent="0.3">
      <c r="A35">
        <v>21112</v>
      </c>
      <c r="B35">
        <v>220</v>
      </c>
      <c r="C35" t="s">
        <v>23</v>
      </c>
      <c r="D35" t="s">
        <v>13</v>
      </c>
      <c r="E35" t="s">
        <v>14</v>
      </c>
      <c r="F35" t="s">
        <v>15</v>
      </c>
      <c r="G35" t="s">
        <v>17</v>
      </c>
      <c r="I35">
        <v>11212</v>
      </c>
      <c r="K35" t="str">
        <f>_xlfn.XLOOKUP(I35, A2:A73, C2:C73)</f>
        <v>Boys</v>
      </c>
      <c r="L35" t="str">
        <f>_xlfn.XLOOKUP(I35, A2:A73, D2:D73)</f>
        <v>6–9 years</v>
      </c>
      <c r="M35" t="str">
        <f>_xlfn.XLOOKUP(I35, A2:A73, E2:E73)</f>
        <v>Rural</v>
      </c>
      <c r="N35" t="str">
        <f>_xlfn.XLOOKUP(I35, A2:A73, F2:F73)</f>
        <v>Manual Workers</v>
      </c>
      <c r="O35" t="str">
        <f>_xlfn.XLOOKUP(I35, A2:A73, G2:G73)</f>
        <v>Pre</v>
      </c>
    </row>
    <row r="36" spans="1:15" x14ac:dyDescent="0.3">
      <c r="A36">
        <v>11212</v>
      </c>
      <c r="B36">
        <v>350</v>
      </c>
      <c r="C36" t="s">
        <v>12</v>
      </c>
      <c r="D36" t="s">
        <v>13</v>
      </c>
      <c r="E36" t="s">
        <v>14</v>
      </c>
      <c r="F36" t="s">
        <v>20</v>
      </c>
      <c r="G36" t="s">
        <v>17</v>
      </c>
      <c r="I36">
        <v>21112</v>
      </c>
      <c r="K36" t="str">
        <f>_xlfn.XLOOKUP(I36, A2:A73, C2:C73)</f>
        <v>Girls</v>
      </c>
      <c r="L36" t="str">
        <f>_xlfn.XLOOKUP(I36, A2:A73, D2:D73)</f>
        <v>6–9 years</v>
      </c>
      <c r="M36" t="str">
        <f>_xlfn.XLOOKUP(I36, A2:A73, E2:E73)</f>
        <v>Rural</v>
      </c>
      <c r="N36" t="str">
        <f>_xlfn.XLOOKUP(I36, A2:A73, F2:F73)</f>
        <v>Non-Manual Workers</v>
      </c>
      <c r="O36" t="str">
        <f>_xlfn.XLOOKUP(I36, A2:A73, G2:G73)</f>
        <v>Pre</v>
      </c>
    </row>
    <row r="37" spans="1:15" x14ac:dyDescent="0.3">
      <c r="A37">
        <v>12112</v>
      </c>
      <c r="B37">
        <v>191</v>
      </c>
      <c r="C37" t="s">
        <v>12</v>
      </c>
      <c r="D37" t="s">
        <v>21</v>
      </c>
      <c r="E37" t="s">
        <v>14</v>
      </c>
      <c r="F37" t="s">
        <v>15</v>
      </c>
      <c r="G37" t="s">
        <v>17</v>
      </c>
      <c r="I37">
        <v>12112</v>
      </c>
      <c r="K37" t="str">
        <f>_xlfn.XLOOKUP(I37, A2:A73, C2:C73)</f>
        <v>Boys</v>
      </c>
      <c r="L37" t="str">
        <f>_xlfn.XLOOKUP(I37, A2:A73, D2:D73)</f>
        <v>10–12 years</v>
      </c>
      <c r="M37" t="str">
        <f>_xlfn.XLOOKUP(I37, A2:A73, E2:E73)</f>
        <v>Rural</v>
      </c>
      <c r="N37" t="str">
        <f>_xlfn.XLOOKUP(I37,A2:A73, F2:F73)</f>
        <v>Non-Manual Workers</v>
      </c>
      <c r="O37" t="str">
        <f>_xlfn.XLOOKUP(I37, A2:A73, G2:G73)</f>
        <v>Pre</v>
      </c>
    </row>
    <row r="38" spans="1:15" x14ac:dyDescent="0.3">
      <c r="A38">
        <v>12122</v>
      </c>
      <c r="B38">
        <v>230</v>
      </c>
      <c r="C38" t="s">
        <v>12</v>
      </c>
      <c r="D38" t="s">
        <v>21</v>
      </c>
      <c r="E38" t="s">
        <v>18</v>
      </c>
      <c r="F38" t="s">
        <v>15</v>
      </c>
      <c r="G38" t="s">
        <v>17</v>
      </c>
      <c r="I38">
        <v>11111</v>
      </c>
      <c r="K38" t="str">
        <f>_xlfn.XLOOKUP(I38, A2:A73, C2:C73)</f>
        <v>Boys</v>
      </c>
      <c r="L38" t="str">
        <f>_xlfn.XLOOKUP(I38, A2:A73, D2:D73)</f>
        <v>6–9 years</v>
      </c>
      <c r="M38" t="str">
        <f>_xlfn.XLOOKUP(I38, A2:A73, E2:E73)</f>
        <v>Rural</v>
      </c>
      <c r="N38" t="str">
        <f>_xlfn.XLOOKUP(I38, A2:A73, F2:F73)</f>
        <v>Non-Manual Workers</v>
      </c>
      <c r="O38" t="str">
        <f>_xlfn.XLOOKUP(I38, A2:A73, G2:G73)</f>
        <v>Post</v>
      </c>
    </row>
    <row r="39" spans="1:15" x14ac:dyDescent="0.3">
      <c r="A39">
        <v>11111</v>
      </c>
      <c r="B39">
        <v>75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I39">
        <v>21221</v>
      </c>
      <c r="K39" t="str">
        <f>_xlfn.XLOOKUP(I39, A2:A73, C2:C73)</f>
        <v>Girls</v>
      </c>
      <c r="L39" t="str">
        <f>_xlfn.XLOOKUP(I39, A2:A73, D2:D73)</f>
        <v>6–9 years</v>
      </c>
      <c r="M39" t="str">
        <f>_xlfn.XLOOKUP(I39, A2:A73, E2:E73)</f>
        <v>Semi-urban</v>
      </c>
      <c r="N39" t="str">
        <f>_xlfn.XLOOKUP(I39, A2:A73, F2:F73)</f>
        <v>Manual Workers</v>
      </c>
      <c r="O39" t="str">
        <f>_xlfn.XLOOKUP(I39, A2:A73, G2:G73)</f>
        <v>Post</v>
      </c>
    </row>
    <row r="40" spans="1:15" x14ac:dyDescent="0.3">
      <c r="A40">
        <v>12231</v>
      </c>
      <c r="B40">
        <v>286</v>
      </c>
      <c r="C40" t="s">
        <v>12</v>
      </c>
      <c r="D40" t="s">
        <v>21</v>
      </c>
      <c r="E40" t="s">
        <v>19</v>
      </c>
      <c r="F40" t="s">
        <v>20</v>
      </c>
      <c r="G40" t="s">
        <v>16</v>
      </c>
      <c r="I40">
        <v>12132</v>
      </c>
      <c r="K40" t="str">
        <f>_xlfn.XLOOKUP(I40, A2:A73, C2:C73)</f>
        <v>Boys</v>
      </c>
      <c r="L40" t="str">
        <f>_xlfn.XLOOKUP(I40, A2:A73, D2:D73)</f>
        <v>10–12 years</v>
      </c>
      <c r="M40" t="str">
        <f>_xlfn.XLOOKUP(I40, A2:A73, E2:E73)</f>
        <v>Urban</v>
      </c>
      <c r="N40" t="str">
        <f>_xlfn.XLOOKUP(I40, A2:A73, F2:F73)</f>
        <v>Non-Manual Workers</v>
      </c>
      <c r="O40" t="str">
        <f>_xlfn.XLOOKUP(I40, A2:A73, G2:G73)</f>
        <v>Pre</v>
      </c>
    </row>
    <row r="41" spans="1:15" x14ac:dyDescent="0.3">
      <c r="A41">
        <v>23211</v>
      </c>
      <c r="B41">
        <v>130</v>
      </c>
      <c r="C41" t="s">
        <v>23</v>
      </c>
      <c r="D41" t="s">
        <v>22</v>
      </c>
      <c r="E41" t="s">
        <v>14</v>
      </c>
      <c r="F41" t="s">
        <v>20</v>
      </c>
      <c r="G41" t="s">
        <v>16</v>
      </c>
      <c r="I41">
        <v>12122</v>
      </c>
      <c r="K41" t="str">
        <f>_xlfn.XLOOKUP(I41, A2:A73, C2:C73)</f>
        <v>Boys</v>
      </c>
      <c r="L41" t="str">
        <f>_xlfn.XLOOKUP(I41, A2:A73, D2:D73)</f>
        <v>10–12 years</v>
      </c>
      <c r="M41" t="str">
        <f>_xlfn.XLOOKUP(I41, A2:A73, E2:E73)</f>
        <v>Semi-urban</v>
      </c>
      <c r="N41" t="str">
        <f>_xlfn.XLOOKUP(I41, A2:A73, F2:F73)</f>
        <v>Non-Manual Workers</v>
      </c>
      <c r="O41" t="str">
        <f>_xlfn.XLOOKUP(I41, A2:A73, G2:G73)</f>
        <v>Pre</v>
      </c>
    </row>
    <row r="42" spans="1:15" x14ac:dyDescent="0.3">
      <c r="A42">
        <v>12111</v>
      </c>
      <c r="B42">
        <v>81</v>
      </c>
      <c r="C42" t="s">
        <v>12</v>
      </c>
      <c r="D42" t="s">
        <v>21</v>
      </c>
      <c r="E42" t="s">
        <v>14</v>
      </c>
      <c r="F42" t="s">
        <v>15</v>
      </c>
      <c r="G42" t="s">
        <v>16</v>
      </c>
      <c r="I42">
        <v>23211</v>
      </c>
      <c r="K42" t="str">
        <f>_xlfn.XLOOKUP(I42, A2:A73, C2:C73)</f>
        <v>Girls</v>
      </c>
      <c r="L42" t="str">
        <f>_xlfn.XLOOKUP(I42, A2:A73, D2:D73)</f>
        <v>13–15 years</v>
      </c>
      <c r="M42" t="str">
        <f>_xlfn.XLOOKUP(I42, A2:A73, E2:E73)</f>
        <v>Rural</v>
      </c>
      <c r="N42" t="str">
        <f>_xlfn.XLOOKUP(I42, A2:A73, F2:F73)</f>
        <v>Manual Workers</v>
      </c>
      <c r="O42" t="str">
        <f>_xlfn.XLOOKUP(I42, A2:A73, G2:G73)</f>
        <v>Post</v>
      </c>
    </row>
    <row r="43" spans="1:15" x14ac:dyDescent="0.3">
      <c r="A43">
        <v>12132</v>
      </c>
      <c r="B43">
        <v>494</v>
      </c>
      <c r="C43" t="s">
        <v>12</v>
      </c>
      <c r="D43" t="s">
        <v>21</v>
      </c>
      <c r="E43" t="s">
        <v>19</v>
      </c>
      <c r="F43" t="s">
        <v>15</v>
      </c>
      <c r="G43" t="s">
        <v>17</v>
      </c>
      <c r="I43">
        <v>12231</v>
      </c>
      <c r="K43" t="str">
        <f>_xlfn.XLOOKUP(I43, A2:A73, C2:C73)</f>
        <v>Boys</v>
      </c>
      <c r="L43" t="str">
        <f>_xlfn.XLOOKUP(I43, A2:A73, D2:D73)</f>
        <v>10–12 years</v>
      </c>
      <c r="M43" t="str">
        <f>_xlfn.XLOOKUP(I43, A2:A73, E2:E73)</f>
        <v>Urban</v>
      </c>
      <c r="N43" t="str">
        <f>_xlfn.XLOOKUP(I43, A2:A73, F2:F73)</f>
        <v>Manual Workers</v>
      </c>
      <c r="O43" t="str">
        <f>_xlfn.XLOOKUP(I43, A2:A73, G2:G73)</f>
        <v>Post</v>
      </c>
    </row>
    <row r="44" spans="1:15" x14ac:dyDescent="0.3">
      <c r="A44">
        <v>22232</v>
      </c>
      <c r="B44">
        <v>472</v>
      </c>
      <c r="C44" t="s">
        <v>23</v>
      </c>
      <c r="D44" t="s">
        <v>21</v>
      </c>
      <c r="E44" t="s">
        <v>19</v>
      </c>
      <c r="F44" t="s">
        <v>20</v>
      </c>
      <c r="G44" t="s">
        <v>17</v>
      </c>
      <c r="I44">
        <v>22232</v>
      </c>
      <c r="K44" t="str">
        <f>_xlfn.XLOOKUP(I44, A2:A73, C2:C73)</f>
        <v>Girls</v>
      </c>
      <c r="L44" t="str">
        <f>_xlfn.XLOOKUP(I44, A2:A73, D2:D73)</f>
        <v>10–12 years</v>
      </c>
      <c r="M44" t="str">
        <f>_xlfn.XLOOKUP(I44, A2:A73, E2:E73)</f>
        <v>Urban</v>
      </c>
      <c r="N44" t="str">
        <f>_xlfn.XLOOKUP(I44, A2:A73, F2:F73)</f>
        <v>Manual Workers</v>
      </c>
      <c r="O44" t="str">
        <f>_xlfn.XLOOKUP(I44, A2:A73, G2:G73)</f>
        <v>Pre</v>
      </c>
    </row>
    <row r="45" spans="1:15" x14ac:dyDescent="0.3">
      <c r="A45">
        <v>12131</v>
      </c>
      <c r="B45">
        <v>251</v>
      </c>
      <c r="C45" t="s">
        <v>12</v>
      </c>
      <c r="D45" t="s">
        <v>21</v>
      </c>
      <c r="E45" t="s">
        <v>19</v>
      </c>
      <c r="F45" t="s">
        <v>15</v>
      </c>
      <c r="G45" t="s">
        <v>16</v>
      </c>
      <c r="I45">
        <v>12111</v>
      </c>
      <c r="K45" t="str">
        <f>_xlfn.XLOOKUP(I45, A2:A73, C2:C73)</f>
        <v>Boys</v>
      </c>
      <c r="L45" t="str">
        <f>_xlfn.XLOOKUP(I45, A2:A73, D2:D73)</f>
        <v>10–12 years</v>
      </c>
      <c r="M45" t="str">
        <f>_xlfn.XLOOKUP(I45, A2:A73, E2:E73)</f>
        <v>Rural</v>
      </c>
      <c r="N45" t="str">
        <f>_xlfn.XLOOKUP(I45, A2:A73, F2:F73)</f>
        <v>Non-Manual Workers</v>
      </c>
      <c r="O45" t="str">
        <f>_xlfn.XLOOKUP(I45, A2:A73, G2:G73)</f>
        <v>Post</v>
      </c>
    </row>
    <row r="46" spans="1:15" x14ac:dyDescent="0.3">
      <c r="A46">
        <v>21221</v>
      </c>
      <c r="B46">
        <v>221</v>
      </c>
      <c r="C46" t="s">
        <v>23</v>
      </c>
      <c r="D46" t="s">
        <v>13</v>
      </c>
      <c r="E46" t="s">
        <v>18</v>
      </c>
      <c r="F46" t="s">
        <v>20</v>
      </c>
      <c r="G46" t="s">
        <v>16</v>
      </c>
      <c r="I46">
        <v>12131</v>
      </c>
      <c r="K46" t="str">
        <f>_xlfn.XLOOKUP(I46, A2:A73, C2:C73)</f>
        <v>Boys</v>
      </c>
      <c r="L46" t="str">
        <f>_xlfn.XLOOKUP(I46, A2:A73, D2:D73)</f>
        <v>10–12 years</v>
      </c>
      <c r="M46" t="str">
        <f>_xlfn.XLOOKUP(I46, A2:A73, E2:E73)</f>
        <v>Urban</v>
      </c>
      <c r="N46" t="str">
        <f>_xlfn.XLOOKUP(I46, A2:A73, F2:F73)</f>
        <v>Non-Manual Workers</v>
      </c>
      <c r="O46" t="str">
        <f>_xlfn.XLOOKUP(I46, A2:A73, G2:G73)</f>
        <v>Post</v>
      </c>
    </row>
    <row r="47" spans="1:15" x14ac:dyDescent="0.3">
      <c r="A47">
        <v>12121</v>
      </c>
      <c r="B47">
        <v>137</v>
      </c>
      <c r="C47" t="s">
        <v>12</v>
      </c>
      <c r="D47" t="s">
        <v>21</v>
      </c>
      <c r="E47" t="s">
        <v>18</v>
      </c>
      <c r="F47" t="s">
        <v>15</v>
      </c>
      <c r="G47" t="s">
        <v>16</v>
      </c>
      <c r="I47">
        <v>11232</v>
      </c>
      <c r="K47" t="str">
        <f>_xlfn.XLOOKUP(I47, A2:A73, C2:C73)</f>
        <v>Boys</v>
      </c>
      <c r="L47" t="str">
        <f>_xlfn.XLOOKUP(I47, A2:A73, D2:D73)</f>
        <v>6–9 years</v>
      </c>
      <c r="M47" t="str">
        <f>_xlfn.XLOOKUP(I47, A2:A73, E2:E73)</f>
        <v>Urban</v>
      </c>
      <c r="N47" t="str">
        <f>_xlfn.XLOOKUP(I47,A2:A73, F2:F73)</f>
        <v>Manual Workers</v>
      </c>
      <c r="O47" t="str">
        <f>_xlfn.XLOOKUP(I47, A2:A73, G2:G73)</f>
        <v>Pre</v>
      </c>
    </row>
    <row r="48" spans="1:15" x14ac:dyDescent="0.3">
      <c r="A48">
        <v>11232</v>
      </c>
      <c r="B48">
        <v>560</v>
      </c>
      <c r="C48" t="s">
        <v>12</v>
      </c>
      <c r="D48" t="s">
        <v>13</v>
      </c>
      <c r="E48" t="s">
        <v>19</v>
      </c>
      <c r="F48" t="s">
        <v>20</v>
      </c>
      <c r="G48" t="s">
        <v>17</v>
      </c>
      <c r="I48">
        <v>12211</v>
      </c>
      <c r="K48" t="str">
        <f>_xlfn.XLOOKUP(I48, A2:A73, C2:C73)</f>
        <v>Boys</v>
      </c>
      <c r="L48" t="str">
        <f>_xlfn.XLOOKUP(I48, A2:A73, D2:D73)</f>
        <v>10–12 years</v>
      </c>
      <c r="M48" t="str">
        <f>_xlfn.XLOOKUP(I48, A2:A73, E2:E73)</f>
        <v>Rural</v>
      </c>
      <c r="N48" t="str">
        <f>_xlfn.XLOOKUP(I48, A2:A73, F2:F73)</f>
        <v>Manual Workers</v>
      </c>
      <c r="O48" t="str">
        <f>_xlfn.XLOOKUP(I48, A2:A73, G2:G73)</f>
        <v>Post</v>
      </c>
    </row>
    <row r="49" spans="1:15" x14ac:dyDescent="0.3">
      <c r="A49">
        <v>12211</v>
      </c>
      <c r="B49">
        <v>147</v>
      </c>
      <c r="C49" t="s">
        <v>12</v>
      </c>
      <c r="D49" t="s">
        <v>21</v>
      </c>
      <c r="E49" t="s">
        <v>14</v>
      </c>
      <c r="F49" t="s">
        <v>20</v>
      </c>
      <c r="G49" t="s">
        <v>16</v>
      </c>
      <c r="I49">
        <v>12121</v>
      </c>
      <c r="K49" t="str">
        <f>_xlfn.XLOOKUP(I49, A2:A73, C2:C73)</f>
        <v>Boys</v>
      </c>
      <c r="L49" t="str">
        <f>_xlfn.XLOOKUP(I49, A2:A73, D2:D73)</f>
        <v>10–12 years</v>
      </c>
      <c r="M49" t="str">
        <f>_xlfn.XLOOKUP(I49, A2:A73, E2:E73)</f>
        <v>Semi-urban</v>
      </c>
      <c r="N49" t="str">
        <f>_xlfn.XLOOKUP(I49, A2:A73, F2:F73)</f>
        <v>Non-Manual Workers</v>
      </c>
      <c r="O49" t="str">
        <f>_xlfn.XLOOKUP(I49, A2:A73, G2:G73)</f>
        <v>Post</v>
      </c>
    </row>
    <row r="50" spans="1:15" x14ac:dyDescent="0.3">
      <c r="A50">
        <v>13121</v>
      </c>
      <c r="B50">
        <v>107</v>
      </c>
      <c r="C50" t="s">
        <v>12</v>
      </c>
      <c r="D50" t="s">
        <v>22</v>
      </c>
      <c r="E50" t="s">
        <v>18</v>
      </c>
      <c r="F50" t="s">
        <v>15</v>
      </c>
      <c r="G50" t="s">
        <v>16</v>
      </c>
      <c r="I50">
        <v>13121</v>
      </c>
      <c r="K50" t="str">
        <f>_xlfn.XLOOKUP(I50, A2:A73, C2:C73)</f>
        <v>Boys</v>
      </c>
      <c r="L50" t="str">
        <f>_xlfn.XLOOKUP(I50, A2:A73, D2:D73)</f>
        <v>13–15 years</v>
      </c>
      <c r="M50" t="str">
        <f>_xlfn.XLOOKUP(I50, A2:A73, E2:E73)</f>
        <v>Semi-urban</v>
      </c>
      <c r="N50" t="str">
        <f>_xlfn.XLOOKUP(I50, A2:A73, F2:F73)</f>
        <v>Non-Manual Workers</v>
      </c>
      <c r="O50" t="str">
        <f>_xlfn.XLOOKUP(I50, A2:A73, G2:G73)</f>
        <v>Post</v>
      </c>
    </row>
    <row r="51" spans="1:15" x14ac:dyDescent="0.3">
      <c r="A51">
        <v>13112</v>
      </c>
      <c r="B51">
        <v>201</v>
      </c>
      <c r="C51" t="s">
        <v>12</v>
      </c>
      <c r="D51" t="s">
        <v>22</v>
      </c>
      <c r="E51" t="s">
        <v>14</v>
      </c>
      <c r="F51" t="s">
        <v>15</v>
      </c>
      <c r="G51" t="s">
        <v>17</v>
      </c>
      <c r="I51">
        <v>12212</v>
      </c>
      <c r="K51" t="str">
        <f>_xlfn.XLOOKUP(I51, A2:A73, C2:C73)</f>
        <v>Boys</v>
      </c>
      <c r="L51" t="str">
        <f>_xlfn.XLOOKUP(I51, A2:A73, D2:D73)</f>
        <v>10–12 years</v>
      </c>
      <c r="M51" t="str">
        <f>_xlfn.XLOOKUP(I51, A2:A73, E2:E73)</f>
        <v>Rural</v>
      </c>
      <c r="N51" t="str">
        <f>_xlfn.XLOOKUP(I51, A2:A73, F2:F73)</f>
        <v>Manual Workers</v>
      </c>
      <c r="O51" t="str">
        <f>_xlfn.XLOOKUP(I51, A2:A73, G2:G73)</f>
        <v>Pre</v>
      </c>
    </row>
    <row r="52" spans="1:15" x14ac:dyDescent="0.3">
      <c r="A52">
        <v>12212</v>
      </c>
      <c r="B52">
        <v>307</v>
      </c>
      <c r="C52" t="s">
        <v>12</v>
      </c>
      <c r="D52" t="s">
        <v>21</v>
      </c>
      <c r="E52" t="s">
        <v>14</v>
      </c>
      <c r="F52" t="s">
        <v>20</v>
      </c>
      <c r="G52" t="s">
        <v>17</v>
      </c>
      <c r="I52">
        <v>13112</v>
      </c>
      <c r="K52" t="str">
        <f>_xlfn.XLOOKUP(I52, A2:A73, C2:C73)</f>
        <v>Boys</v>
      </c>
      <c r="L52" t="str">
        <f>_xlfn.XLOOKUP(I52, A2:A73, D2:D73)</f>
        <v>13–15 years</v>
      </c>
      <c r="M52" t="str">
        <f>_xlfn.XLOOKUP(I52, A2:A73, E2:E73)</f>
        <v>Rural</v>
      </c>
      <c r="N52" t="str">
        <f>_xlfn.XLOOKUP(I52, A2:A73, F2:F73)</f>
        <v>Non-Manual Workers</v>
      </c>
      <c r="O52" t="str">
        <f>_xlfn.XLOOKUP(I52, A2:A73, G2:G73)</f>
        <v>Pre</v>
      </c>
    </row>
    <row r="53" spans="1:15" x14ac:dyDescent="0.3">
      <c r="A53">
        <v>11132</v>
      </c>
      <c r="B53">
        <v>541</v>
      </c>
      <c r="C53" t="s">
        <v>12</v>
      </c>
      <c r="D53" t="s">
        <v>13</v>
      </c>
      <c r="E53" t="s">
        <v>19</v>
      </c>
      <c r="F53" t="s">
        <v>15</v>
      </c>
      <c r="G53" t="s">
        <v>17</v>
      </c>
      <c r="I53">
        <v>11132</v>
      </c>
      <c r="K53" t="str">
        <f>_xlfn.XLOOKUP(I53, A2:A73, C2:C73)</f>
        <v>Boys</v>
      </c>
      <c r="L53" t="str">
        <f>_xlfn.XLOOKUP(I53, A2:A73, D2:D73)</f>
        <v>6–9 years</v>
      </c>
      <c r="M53" t="str">
        <f>_xlfn.XLOOKUP(I53, A2:A73, E2:E73)</f>
        <v>Urban</v>
      </c>
      <c r="N53" t="str">
        <f>_xlfn.XLOOKUP(I53, A2:A73, F2:F73)</f>
        <v>Non-Manual Workers</v>
      </c>
      <c r="O53" t="str">
        <f>_xlfn.XLOOKUP(I53, A2:A73, G2:G73)</f>
        <v>Pre</v>
      </c>
    </row>
    <row r="54" spans="1:15" x14ac:dyDescent="0.3">
      <c r="A54">
        <v>11211</v>
      </c>
      <c r="B54">
        <v>168</v>
      </c>
      <c r="C54" t="s">
        <v>12</v>
      </c>
      <c r="D54" t="s">
        <v>13</v>
      </c>
      <c r="E54" t="s">
        <v>14</v>
      </c>
      <c r="F54" t="s">
        <v>20</v>
      </c>
      <c r="G54" t="s">
        <v>16</v>
      </c>
      <c r="I54">
        <v>11211</v>
      </c>
      <c r="K54" t="str">
        <f>_xlfn.XLOOKUP(I54, A2:A73, C2:C73)</f>
        <v>Boys</v>
      </c>
      <c r="L54" t="str">
        <f>_xlfn.XLOOKUP(I54, A2:A73, D2:D73)</f>
        <v>6–9 years</v>
      </c>
      <c r="M54" t="str">
        <f>_xlfn.XLOOKUP(I54, A2:A73, E2:E73)</f>
        <v>Rural</v>
      </c>
      <c r="N54" t="str">
        <f>_xlfn.XLOOKUP(I54, A2:A73, F2:F73)</f>
        <v>Manual Workers</v>
      </c>
      <c r="O54" t="str">
        <f>_xlfn.XLOOKUP(I54, A2:A73, G2:G73)</f>
        <v>Post</v>
      </c>
    </row>
    <row r="55" spans="1:15" x14ac:dyDescent="0.3">
      <c r="A55">
        <v>11131</v>
      </c>
      <c r="B55">
        <v>268</v>
      </c>
      <c r="C55" t="s">
        <v>12</v>
      </c>
      <c r="D55" t="s">
        <v>13</v>
      </c>
      <c r="E55" t="s">
        <v>19</v>
      </c>
      <c r="F55" t="s">
        <v>15</v>
      </c>
      <c r="G55" t="s">
        <v>16</v>
      </c>
      <c r="I55">
        <v>11112</v>
      </c>
      <c r="K55" t="str">
        <f>_xlfn.XLOOKUP(I55, A2:A73, C2:C73)</f>
        <v>Boys</v>
      </c>
      <c r="L55" t="str">
        <f>_xlfn.XLOOKUP(I55, A2:A73, D2:D73)</f>
        <v>6–9 years</v>
      </c>
      <c r="M55" t="str">
        <f>_xlfn.XLOOKUP(I55, A2:A73, E2:E73)</f>
        <v>Rural</v>
      </c>
      <c r="N55" t="str">
        <f>_xlfn.XLOOKUP(I55, A2:A73, F2:F73)</f>
        <v>Non-Manual Workers</v>
      </c>
      <c r="O55" t="str">
        <f>_xlfn.XLOOKUP(I55, A2:A73, G2:G73)</f>
        <v>Pre</v>
      </c>
    </row>
    <row r="56" spans="1:15" x14ac:dyDescent="0.3">
      <c r="A56">
        <v>11112</v>
      </c>
      <c r="B56">
        <v>263</v>
      </c>
      <c r="C56" t="s">
        <v>12</v>
      </c>
      <c r="D56" t="s">
        <v>13</v>
      </c>
      <c r="E56" t="s">
        <v>14</v>
      </c>
      <c r="F56" t="s">
        <v>15</v>
      </c>
      <c r="G56" t="s">
        <v>17</v>
      </c>
      <c r="I56">
        <v>21231</v>
      </c>
      <c r="K56" t="str">
        <f>_xlfn.XLOOKUP(I56, A2:A73, C2:C73)</f>
        <v>Girls</v>
      </c>
      <c r="L56" t="str">
        <f>_xlfn.XLOOKUP(I56, A2:A73, D2:D73)</f>
        <v>6–9 years</v>
      </c>
      <c r="M56" t="str">
        <f>_xlfn.XLOOKUP(I56, A2:A73, E2:E73)</f>
        <v>Urban</v>
      </c>
      <c r="N56" t="str">
        <f>_xlfn.XLOOKUP(I56, A2:A73, F2:F73)</f>
        <v>Manual Workers</v>
      </c>
      <c r="O56" t="str">
        <f>_xlfn.XLOOKUP(I56, A2:A73, G2:G73)</f>
        <v>Post</v>
      </c>
    </row>
    <row r="57" spans="1:15" x14ac:dyDescent="0.3">
      <c r="A57">
        <v>21212</v>
      </c>
      <c r="B57">
        <v>338</v>
      </c>
      <c r="C57" t="s">
        <v>23</v>
      </c>
      <c r="D57" t="s">
        <v>13</v>
      </c>
      <c r="E57" t="s">
        <v>14</v>
      </c>
      <c r="F57" t="s">
        <v>20</v>
      </c>
      <c r="G57" t="s">
        <v>17</v>
      </c>
      <c r="I57">
        <v>11131</v>
      </c>
      <c r="K57" t="str">
        <f>_xlfn.XLOOKUP(I57, A2:A73, C2:C73)</f>
        <v>Boys</v>
      </c>
      <c r="L57" t="str">
        <f>_xlfn.XLOOKUP(I57, A2:A73, D2:D73)</f>
        <v>6–9 years</v>
      </c>
      <c r="M57" t="str">
        <f>_xlfn.XLOOKUP(I57, A2:A73, E2:E73)</f>
        <v>Urban</v>
      </c>
      <c r="N57" t="str">
        <f>_xlfn.XLOOKUP(I57, A2:A73, F2:F73)</f>
        <v>Non-Manual Workers</v>
      </c>
      <c r="O57" t="str">
        <f>_xlfn.XLOOKUP(I57, A2:A73, G2:G73)</f>
        <v>Post</v>
      </c>
    </row>
    <row r="58" spans="1:15" x14ac:dyDescent="0.3">
      <c r="A58">
        <v>11122</v>
      </c>
      <c r="B58">
        <v>267</v>
      </c>
      <c r="C58" t="s">
        <v>12</v>
      </c>
      <c r="D58" t="s">
        <v>13</v>
      </c>
      <c r="E58" t="s">
        <v>18</v>
      </c>
      <c r="F58" t="s">
        <v>15</v>
      </c>
      <c r="G58" t="s">
        <v>17</v>
      </c>
      <c r="I58">
        <v>21212</v>
      </c>
      <c r="K58" t="str">
        <f>_xlfn.XLOOKUP(I58, A2:A73, C2:C73)</f>
        <v>Girls</v>
      </c>
      <c r="L58" t="str">
        <f>_xlfn.XLOOKUP(I58, A2:A73, D2:D73)</f>
        <v>6–9 years</v>
      </c>
      <c r="M58" t="str">
        <f>_xlfn.XLOOKUP(I58, A2:A73, E2:E73)</f>
        <v>Rural</v>
      </c>
      <c r="N58" t="str">
        <f>_xlfn.XLOOKUP(I58, A2:A73, F2:F73)</f>
        <v>Manual Workers</v>
      </c>
      <c r="O58" t="str">
        <f>_xlfn.XLOOKUP(I58, A2:A73, G2:G73)</f>
        <v>Pre</v>
      </c>
    </row>
    <row r="59" spans="1:15" x14ac:dyDescent="0.3">
      <c r="A59">
        <v>21231</v>
      </c>
      <c r="B59">
        <v>336</v>
      </c>
      <c r="C59" t="s">
        <v>23</v>
      </c>
      <c r="D59" t="s">
        <v>13</v>
      </c>
      <c r="E59" t="s">
        <v>19</v>
      </c>
      <c r="F59" t="s">
        <v>20</v>
      </c>
      <c r="G59" t="s">
        <v>16</v>
      </c>
      <c r="I59">
        <v>11122</v>
      </c>
      <c r="K59" t="str">
        <f>_xlfn.XLOOKUP(I59, A2:A73, C2:C73)</f>
        <v>Boys</v>
      </c>
      <c r="L59" t="str">
        <f>_xlfn.XLOOKUP(I59, A2:A73, D2:D73)</f>
        <v>6–9 years</v>
      </c>
      <c r="M59" t="str">
        <f>_xlfn.XLOOKUP(I59, A2:A73, E2:E73)</f>
        <v>Semi-urban</v>
      </c>
      <c r="N59" t="str">
        <f>_xlfn.XLOOKUP(I59, A2:A73, F2:F73)</f>
        <v>Non-Manual Workers</v>
      </c>
      <c r="O59" t="str">
        <f>_xlfn.XLOOKUP(I59, A2:A73, G2:G73)</f>
        <v>Pre</v>
      </c>
    </row>
    <row r="60" spans="1:15" x14ac:dyDescent="0.3">
      <c r="A60">
        <v>22112</v>
      </c>
      <c r="B60">
        <v>182</v>
      </c>
      <c r="C60" t="s">
        <v>23</v>
      </c>
      <c r="D60" t="s">
        <v>21</v>
      </c>
      <c r="E60" t="s">
        <v>14</v>
      </c>
      <c r="F60" t="s">
        <v>15</v>
      </c>
      <c r="G60" t="s">
        <v>17</v>
      </c>
      <c r="I60">
        <v>22112</v>
      </c>
      <c r="K60" t="str">
        <f>_xlfn.XLOOKUP(I60, A2:A73, C2:C73)</f>
        <v>Girls</v>
      </c>
      <c r="L60" t="str">
        <f>_xlfn.XLOOKUP(I60, A2:A73, D2:D73)</f>
        <v>10–12 years</v>
      </c>
      <c r="M60" t="str">
        <f>_xlfn.XLOOKUP(I60, A2:A73, E2:E73)</f>
        <v>Rural</v>
      </c>
      <c r="N60" t="str">
        <f>_xlfn.XLOOKUP(I60, A2:A73, F2:F73)</f>
        <v>Non-Manual Workers</v>
      </c>
      <c r="O60" t="str">
        <f>_xlfn.XLOOKUP(I60, A2:A73, G2:G73)</f>
        <v>Pre</v>
      </c>
    </row>
    <row r="61" spans="1:15" x14ac:dyDescent="0.3">
      <c r="A61">
        <v>13122</v>
      </c>
      <c r="B61">
        <v>273</v>
      </c>
      <c r="C61" t="s">
        <v>12</v>
      </c>
      <c r="D61" t="s">
        <v>22</v>
      </c>
      <c r="E61" t="s">
        <v>18</v>
      </c>
      <c r="F61" t="s">
        <v>15</v>
      </c>
      <c r="G61" t="s">
        <v>17</v>
      </c>
      <c r="I61">
        <v>13122</v>
      </c>
      <c r="K61" t="str">
        <f>_xlfn.XLOOKUP(I61, A2:A73, C2:C73)</f>
        <v>Boys</v>
      </c>
      <c r="L61" t="str">
        <f>_xlfn.XLOOKUP(I61, A2:A73, D2:D73)</f>
        <v>13–15 years</v>
      </c>
      <c r="M61" t="str">
        <f>_xlfn.XLOOKUP(I61, A2:A73, E2:E73)</f>
        <v>Semi-urban</v>
      </c>
      <c r="N61" t="str">
        <f>_xlfn.XLOOKUP(I61, A2:A73, F2:F73)</f>
        <v>Non-Manual Workers</v>
      </c>
      <c r="O61" t="str">
        <f>_xlfn.XLOOKUP(I61, A2:A73, G2:G73)</f>
        <v>Pre</v>
      </c>
    </row>
    <row r="62" spans="1:15" x14ac:dyDescent="0.3">
      <c r="A62">
        <v>11222</v>
      </c>
      <c r="B62">
        <v>410</v>
      </c>
      <c r="C62" t="s">
        <v>12</v>
      </c>
      <c r="D62" t="s">
        <v>13</v>
      </c>
      <c r="E62" t="s">
        <v>18</v>
      </c>
      <c r="F62" t="s">
        <v>20</v>
      </c>
      <c r="G62" t="s">
        <v>17</v>
      </c>
      <c r="I62">
        <v>11222</v>
      </c>
      <c r="K62" t="str">
        <f>_xlfn.XLOOKUP(I62, A2:A73, C2:C73)</f>
        <v>Boys</v>
      </c>
      <c r="L62" t="str">
        <f>_xlfn.XLOOKUP(I62, A2:A73, D2:D73)</f>
        <v>6–9 years</v>
      </c>
      <c r="M62" t="str">
        <f>_xlfn.XLOOKUP(I62, A2:A73, E2:E73)</f>
        <v>Semi-urban</v>
      </c>
      <c r="N62" t="str">
        <f>_xlfn.XLOOKUP(I62, A2:A73, F2:F73)</f>
        <v>Manual Workers</v>
      </c>
      <c r="O62" t="str">
        <f>_xlfn.XLOOKUP(I62, A2:A73, G2:G73)</f>
        <v>Pre</v>
      </c>
    </row>
    <row r="63" spans="1:15" x14ac:dyDescent="0.3">
      <c r="A63">
        <v>23111</v>
      </c>
      <c r="B63">
        <v>63</v>
      </c>
      <c r="C63" t="s">
        <v>23</v>
      </c>
      <c r="D63" t="s">
        <v>22</v>
      </c>
      <c r="E63" t="s">
        <v>14</v>
      </c>
      <c r="F63" t="s">
        <v>15</v>
      </c>
      <c r="G63" t="s">
        <v>16</v>
      </c>
      <c r="I63">
        <v>22221</v>
      </c>
      <c r="K63" t="str">
        <f>_xlfn.XLOOKUP(I63, A2:A73, C2:C73)</f>
        <v>Girls</v>
      </c>
      <c r="L63" t="str">
        <f>_xlfn.XLOOKUP(I63, A2:A73, D2:D73)</f>
        <v>10–12 years</v>
      </c>
      <c r="M63" t="str">
        <f>_xlfn.XLOOKUP(I63, A2:A73, E2:E73)</f>
        <v>Semi-urban</v>
      </c>
      <c r="N63" t="str">
        <f>_xlfn.XLOOKUP(I63, A2:A73, F2:F73)</f>
        <v>Manual Workers</v>
      </c>
      <c r="O63" t="str">
        <f>_xlfn.XLOOKUP(I63, A2:A73, G2:G73)</f>
        <v>Post</v>
      </c>
    </row>
    <row r="64" spans="1:15" x14ac:dyDescent="0.3">
      <c r="A64">
        <v>22221</v>
      </c>
      <c r="B64">
        <v>171</v>
      </c>
      <c r="C64" t="s">
        <v>23</v>
      </c>
      <c r="D64" t="s">
        <v>21</v>
      </c>
      <c r="E64" t="s">
        <v>18</v>
      </c>
      <c r="F64" t="s">
        <v>20</v>
      </c>
      <c r="G64" t="s">
        <v>16</v>
      </c>
      <c r="I64">
        <v>23111</v>
      </c>
      <c r="K64" t="str">
        <f>_xlfn.XLOOKUP(I64, A2:A73, C2:C73)</f>
        <v>Girls</v>
      </c>
      <c r="L64" t="str">
        <f>_xlfn.XLOOKUP(I64, A2:A73, D2:D73)</f>
        <v>13–15 years</v>
      </c>
      <c r="M64" t="str">
        <f>_xlfn.XLOOKUP(I64, A2:A73, E2:E73)</f>
        <v>Rural</v>
      </c>
      <c r="N64" t="str">
        <f>_xlfn.XLOOKUP(I64, A2:A73, F2:F73)</f>
        <v>Non-Manual Workers</v>
      </c>
      <c r="O64" t="str">
        <f>_xlfn.XLOOKUP(I64, A2:A73, G2:G73)</f>
        <v>Post</v>
      </c>
    </row>
    <row r="65" spans="1:15" x14ac:dyDescent="0.3">
      <c r="A65">
        <v>23231</v>
      </c>
      <c r="B65">
        <v>249</v>
      </c>
      <c r="C65" t="s">
        <v>23</v>
      </c>
      <c r="D65" t="s">
        <v>22</v>
      </c>
      <c r="E65" t="s">
        <v>19</v>
      </c>
      <c r="F65" t="s">
        <v>20</v>
      </c>
      <c r="G65" t="s">
        <v>16</v>
      </c>
      <c r="I65">
        <v>23132</v>
      </c>
      <c r="K65" t="str">
        <f>_xlfn.XLOOKUP(I65, A2:A73, C2:C73)</f>
        <v>Girls</v>
      </c>
      <c r="L65" t="str">
        <f>_xlfn.XLOOKUP(I65, A2:A73, D2:D73)</f>
        <v>13–15 years</v>
      </c>
      <c r="M65" t="str">
        <f>_xlfn.XLOOKUP(I65, A2:A73, E2:E73)</f>
        <v>Urban</v>
      </c>
      <c r="N65" t="str">
        <f>_xlfn.XLOOKUP(I65, A2:A73, F2:F73)</f>
        <v>Non-Manual Workers</v>
      </c>
      <c r="O65" t="str">
        <f>_xlfn.XLOOKUP(I65, A2:A73, G2:G73)</f>
        <v>Pre</v>
      </c>
    </row>
    <row r="66" spans="1:15" x14ac:dyDescent="0.3">
      <c r="A66">
        <v>23132</v>
      </c>
      <c r="B66">
        <v>470</v>
      </c>
      <c r="C66" t="s">
        <v>23</v>
      </c>
      <c r="D66" t="s">
        <v>22</v>
      </c>
      <c r="E66" t="s">
        <v>19</v>
      </c>
      <c r="F66" t="s">
        <v>15</v>
      </c>
      <c r="G66" t="s">
        <v>17</v>
      </c>
      <c r="I66">
        <v>23222</v>
      </c>
      <c r="K66" t="str">
        <f>_xlfn.XLOOKUP(I66, A2:A73, C2:C73)</f>
        <v>Girls</v>
      </c>
      <c r="L66" t="str">
        <f>_xlfn.XLOOKUP(I66, A2:A73, D2:D73)</f>
        <v>13–15 years</v>
      </c>
      <c r="M66" t="str">
        <f>_xlfn.XLOOKUP(I66, A2:A73, E2:E73)</f>
        <v>Semi-urban</v>
      </c>
      <c r="N66" t="str">
        <f>_xlfn.XLOOKUP(I66, A2:A73, F2:F73)</f>
        <v>Manual Workers</v>
      </c>
      <c r="O66" t="str">
        <f>_xlfn.XLOOKUP(I66, A2:A73, G2:G73)</f>
        <v>Pre</v>
      </c>
    </row>
    <row r="67" spans="1:15" x14ac:dyDescent="0.3">
      <c r="A67">
        <v>23222</v>
      </c>
      <c r="B67">
        <v>351</v>
      </c>
      <c r="C67" t="s">
        <v>23</v>
      </c>
      <c r="D67" t="s">
        <v>22</v>
      </c>
      <c r="E67" t="s">
        <v>18</v>
      </c>
      <c r="F67" t="s">
        <v>20</v>
      </c>
      <c r="G67" t="s">
        <v>17</v>
      </c>
      <c r="I67">
        <v>23231</v>
      </c>
      <c r="K67" t="str">
        <f>_xlfn.XLOOKUP(I67, A2:A73, C2:C73)</f>
        <v>Girls</v>
      </c>
      <c r="L67" t="str">
        <f>_xlfn.XLOOKUP(I67, A2:A73, D2:D73)</f>
        <v>13–15 years</v>
      </c>
      <c r="M67" t="str">
        <f>_xlfn.XLOOKUP(I67, A2:A73, E2:E73)</f>
        <v>Urban</v>
      </c>
      <c r="N67" t="str">
        <f>_xlfn.XLOOKUP(I67, A2:A73, F2:F73)</f>
        <v>Manual Workers</v>
      </c>
      <c r="O67" t="str">
        <f>_xlfn.XLOOKUP(I67, A2:A73, G2:G73)</f>
        <v>Post</v>
      </c>
    </row>
    <row r="68" spans="1:15" x14ac:dyDescent="0.3">
      <c r="A68">
        <v>11231</v>
      </c>
      <c r="B68">
        <v>344</v>
      </c>
      <c r="C68" t="s">
        <v>12</v>
      </c>
      <c r="D68" t="s">
        <v>13</v>
      </c>
      <c r="E68" t="s">
        <v>19</v>
      </c>
      <c r="F68" t="s">
        <v>20</v>
      </c>
      <c r="G68" t="s">
        <v>16</v>
      </c>
      <c r="I68">
        <v>11231</v>
      </c>
      <c r="K68" t="str">
        <f>_xlfn.XLOOKUP(I68, A2:A73, C2:C73)</f>
        <v>Boys</v>
      </c>
      <c r="L68" t="str">
        <f>_xlfn.XLOOKUP(I68, A2:A73, D2:D73)</f>
        <v>6–9 years</v>
      </c>
      <c r="M68" t="str">
        <f>_xlfn.XLOOKUP(I68, A2:A73, E2:E73)</f>
        <v>Urban</v>
      </c>
      <c r="N68" t="str">
        <f>_xlfn.XLOOKUP(I68, A2:A73, F2:F73)</f>
        <v>Manual Workers</v>
      </c>
      <c r="O68" t="str">
        <f>_xlfn.XLOOKUP(I68, A2:A73, G2:G73)</f>
        <v>Post</v>
      </c>
    </row>
    <row r="69" spans="1:15" x14ac:dyDescent="0.3">
      <c r="A69" s="2">
        <v>23232</v>
      </c>
      <c r="B69" s="2">
        <v>503</v>
      </c>
      <c r="C69" s="2" t="s">
        <v>23</v>
      </c>
      <c r="D69" s="2" t="s">
        <v>22</v>
      </c>
      <c r="E69" s="2" t="s">
        <v>19</v>
      </c>
      <c r="F69" s="2" t="s">
        <v>20</v>
      </c>
      <c r="G69" s="2" t="s">
        <v>17</v>
      </c>
      <c r="I69">
        <v>23232</v>
      </c>
      <c r="K69" t="str">
        <f>_xlfn.XLOOKUP(I69, A2:A73, C2:C73)</f>
        <v>Girls</v>
      </c>
      <c r="L69" t="str">
        <f>_xlfn.XLOOKUP(I69, A2:A73, D2:D73)</f>
        <v>13–15 years</v>
      </c>
      <c r="M69" t="str">
        <f>_xlfn.XLOOKUP(I69, A2:A73, E2:E73)</f>
        <v>Urban</v>
      </c>
      <c r="N69" t="str">
        <f>_xlfn.XLOOKUP(I69, A2:A73, F2:F73)</f>
        <v>Manual Workers</v>
      </c>
      <c r="O69" t="str">
        <f>_xlfn.XLOOKUP(I69, A2:A73, G2:G73)</f>
        <v>Pre</v>
      </c>
    </row>
    <row r="70" spans="1:15" x14ac:dyDescent="0.3">
      <c r="A70" s="2">
        <v>12221</v>
      </c>
      <c r="B70" s="2">
        <v>204</v>
      </c>
      <c r="C70" s="2" t="s">
        <v>12</v>
      </c>
      <c r="D70" s="2" t="s">
        <v>21</v>
      </c>
      <c r="E70" s="2" t="s">
        <v>18</v>
      </c>
      <c r="F70" s="2" t="s">
        <v>20</v>
      </c>
      <c r="G70" s="2" t="s">
        <v>16</v>
      </c>
      <c r="I70">
        <v>12221</v>
      </c>
      <c r="K70" t="str">
        <f>_xlfn.XLOOKUP(I70, A2:A73, C2:C73)</f>
        <v>Boys</v>
      </c>
      <c r="L70" t="str">
        <f>_xlfn.XLOOKUP(I70, A2:A73, D2:D73)</f>
        <v>10–12 years</v>
      </c>
      <c r="M70" t="str">
        <f>_xlfn.XLOOKUP(I70, A2:A73, E2:E73)</f>
        <v>Semi-urban</v>
      </c>
      <c r="N70" t="str">
        <f>_xlfn.XLOOKUP(I70, A2:A73, F2:F73)</f>
        <v>Manual Workers</v>
      </c>
      <c r="O70" t="str">
        <f>_xlfn.XLOOKUP(I70, A2:A73, G2:G73)</f>
        <v>Post</v>
      </c>
    </row>
    <row r="71" spans="1:15" x14ac:dyDescent="0.3">
      <c r="A71" s="2">
        <v>22231</v>
      </c>
      <c r="B71" s="2">
        <v>282</v>
      </c>
      <c r="C71" s="2" t="s">
        <v>23</v>
      </c>
      <c r="D71" s="2" t="s">
        <v>21</v>
      </c>
      <c r="E71" s="2" t="s">
        <v>19</v>
      </c>
      <c r="F71" s="2" t="s">
        <v>20</v>
      </c>
      <c r="G71" s="2" t="s">
        <v>16</v>
      </c>
      <c r="I71">
        <v>22231</v>
      </c>
      <c r="K71" t="str">
        <f>_xlfn.XLOOKUP(I71, A2:A73, C2:C73)</f>
        <v>Girls</v>
      </c>
      <c r="L71" t="str">
        <f>_xlfn.XLOOKUP(I71, A2:A73, D2:D73)</f>
        <v>10–12 years</v>
      </c>
      <c r="M71" t="str">
        <f>_xlfn.XLOOKUP(I71, A2:A73, E2:E73)</f>
        <v>Urban</v>
      </c>
      <c r="N71" t="str">
        <f>_xlfn.XLOOKUP(I71, A2:A73, F2:F73)</f>
        <v>Manual Workers</v>
      </c>
      <c r="O71" t="str">
        <f>_xlfn.XLOOKUP(I71, A2:A73, G2:G73)</f>
        <v>Post</v>
      </c>
    </row>
    <row r="72" spans="1:15" x14ac:dyDescent="0.3">
      <c r="A72" s="2">
        <v>23112</v>
      </c>
      <c r="B72" s="2">
        <v>195</v>
      </c>
      <c r="C72" s="2" t="s">
        <v>23</v>
      </c>
      <c r="D72" s="2" t="s">
        <v>22</v>
      </c>
      <c r="E72" s="2" t="s">
        <v>14</v>
      </c>
      <c r="F72" s="2" t="s">
        <v>15</v>
      </c>
      <c r="G72" s="2" t="s">
        <v>17</v>
      </c>
      <c r="I72">
        <v>23112</v>
      </c>
      <c r="K72" t="str">
        <f>_xlfn.XLOOKUP(I72, A2:A73, C2:C73)</f>
        <v>Girls</v>
      </c>
      <c r="L72" t="str">
        <f>_xlfn.XLOOKUP(I72, A2:A73, D2:D73)</f>
        <v>13–15 years</v>
      </c>
      <c r="M72" t="str">
        <f>_xlfn.XLOOKUP(I72, A2:A73, E2:E73)</f>
        <v>Rural</v>
      </c>
      <c r="N72" t="str">
        <f>_xlfn.XLOOKUP(I72, A2:A73, F2:F73)</f>
        <v>Non-Manual Workers</v>
      </c>
      <c r="O72" t="str">
        <f>_xlfn.XLOOKUP(I72, A2:A73, G2:G73)</f>
        <v>Pre</v>
      </c>
    </row>
    <row r="73" spans="1:15" x14ac:dyDescent="0.3">
      <c r="A73" s="2">
        <v>23122</v>
      </c>
      <c r="B73" s="2">
        <v>246</v>
      </c>
      <c r="C73" s="2" t="s">
        <v>23</v>
      </c>
      <c r="D73" s="2" t="s">
        <v>22</v>
      </c>
      <c r="E73" s="2" t="s">
        <v>18</v>
      </c>
      <c r="F73" s="2" t="s">
        <v>15</v>
      </c>
      <c r="G73" s="2" t="s">
        <v>17</v>
      </c>
      <c r="I73">
        <v>23122</v>
      </c>
      <c r="K73" t="str">
        <f>_xlfn.XLOOKUP(I73, A2:A73, C2:C73)</f>
        <v>Girls</v>
      </c>
      <c r="L73" t="str">
        <f>_xlfn.XLOOKUP(I73, A2:A73, D2:D73)</f>
        <v>13–15 years</v>
      </c>
      <c r="M73" t="str">
        <f>_xlfn.XLOOKUP(I73, A2:A73, E2:E73)</f>
        <v>Semi-urban</v>
      </c>
      <c r="N73" t="str">
        <f>_xlfn.XLOOKUP(I73, A2:A73, F2:F73)</f>
        <v>Non-Manual Workers</v>
      </c>
      <c r="O73" t="str">
        <f>_xlfn.XLOOKUP(I73, A2:A73, G2:G73)</f>
        <v>Pre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Table 1</vt:lpstr>
      <vt:lpstr>Models</vt:lpstr>
      <vt:lpstr>Prevalence Sedentarism</vt:lpstr>
      <vt:lpstr>Figure 2 Predicted Prob</vt:lpstr>
      <vt:lpstr>Figure 3 Residual Simulation</vt:lpstr>
      <vt:lpstr>Figure 3 Residual no Simulation</vt:lpstr>
      <vt:lpstr>STATA Predicted Prob</vt:lpstr>
      <vt:lpstr>STATA Residual</vt:lpstr>
      <vt:lpstr>Codebook STATA variables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2026-04-16T11:21:00Z</dcterms:modified>
</cp:coreProperties>
</file>