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8b97e870d12de33/Documents/UAH/PhD Documents/INEdatos/Analysis/Tables/"/>
    </mc:Choice>
  </mc:AlternateContent>
  <xr:revisionPtr revIDLastSave="632" documentId="11_F25DC773A252ABDACC10487F095D4F545ADE58EF" xr6:coauthVersionLast="47" xr6:coauthVersionMax="47" xr10:uidLastSave="{CA1EF195-C79A-4B63-8D58-230B003716F2}"/>
  <bookViews>
    <workbookView xWindow="-120" yWindow="-120" windowWidth="29040" windowHeight="15720" activeTab="1" xr2:uid="{00000000-000D-0000-FFFF-FFFF00000000}"/>
  </bookViews>
  <sheets>
    <sheet name="Descriptive" sheetId="11" r:id="rId1"/>
    <sheet name="Models" sheetId="1" r:id="rId2"/>
    <sheet name="Prevalence" sheetId="2" state="hidden" r:id="rId3"/>
    <sheet name="Hoja2" sheetId="3" state="hidden" r:id="rId4"/>
    <sheet name="Predicted Probability" sheetId="4" state="hidden" r:id="rId5"/>
    <sheet name="Strata 2" sheetId="5" r:id="rId6"/>
    <sheet name="Strata 2-STATA" sheetId="10" r:id="rId7"/>
    <sheet name="Strata 3" sheetId="8" r:id="rId8"/>
    <sheet name="Strata 3-STATA" sheetId="9" r:id="rId9"/>
    <sheet name="Strata 4" sheetId="1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6" i="1" l="1"/>
  <c r="L56" i="1"/>
  <c r="N5" i="11"/>
  <c r="N7" i="11"/>
  <c r="N8" i="11"/>
  <c r="N9" i="11"/>
  <c r="N10" i="11"/>
  <c r="N11" i="11"/>
  <c r="N13" i="11"/>
  <c r="N15" i="11"/>
  <c r="N16" i="11"/>
  <c r="N19" i="11"/>
  <c r="N20" i="11"/>
  <c r="N21" i="11"/>
  <c r="O4" i="11"/>
  <c r="N4" i="11" s="1"/>
  <c r="O5" i="11"/>
  <c r="O6" i="11"/>
  <c r="N6" i="11" s="1"/>
  <c r="O7" i="11"/>
  <c r="O8" i="11"/>
  <c r="O9" i="11"/>
  <c r="O10" i="11"/>
  <c r="O11" i="11"/>
  <c r="O12" i="11"/>
  <c r="N12" i="11" s="1"/>
  <c r="O13" i="11"/>
  <c r="O14" i="11"/>
  <c r="N14" i="11" s="1"/>
  <c r="O15" i="11"/>
  <c r="O16" i="11"/>
  <c r="O17" i="11"/>
  <c r="N17" i="11" s="1"/>
  <c r="O18" i="11"/>
  <c r="N18" i="11" s="1"/>
  <c r="O19" i="11"/>
  <c r="O20" i="11"/>
  <c r="O21" i="11"/>
</calcChain>
</file>

<file path=xl/sharedStrings.xml><?xml version="1.0" encoding="utf-8"?>
<sst xmlns="http://schemas.openxmlformats.org/spreadsheetml/2006/main" count="2671" uniqueCount="305">
  <si>
    <t>sedentarismo</t>
  </si>
  <si>
    <t>Predictors</t>
  </si>
  <si>
    <t>Odds Ratios</t>
  </si>
  <si>
    <t>std. Error</t>
  </si>
  <si>
    <t>CI</t>
  </si>
  <si>
    <t>p</t>
  </si>
  <si>
    <t>(Intercept)</t>
  </si>
  <si>
    <t>0.12 – 0.16</t>
  </si>
  <si>
    <t>&lt;0.001</t>
  </si>
  <si>
    <t>Random Effects</t>
  </si>
  <si>
    <r>
      <t>σ</t>
    </r>
    <r>
      <rPr>
        <vertAlign val="superscript"/>
        <sz val="11"/>
        <color theme="1"/>
        <rFont val="Times New Roman"/>
        <family val="1"/>
      </rPr>
      <t>2</t>
    </r>
  </si>
  <si>
    <t>ICC</t>
  </si>
  <si>
    <t>Observations</t>
  </si>
  <si>
    <r>
      <t>Marginal R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 / Conditional R</t>
    </r>
    <r>
      <rPr>
        <vertAlign val="superscript"/>
        <sz val="11"/>
        <color theme="1"/>
        <rFont val="Times New Roman"/>
        <family val="1"/>
      </rPr>
      <t>2</t>
    </r>
  </si>
  <si>
    <t>0.000 / 0.074</t>
  </si>
  <si>
    <t>0.12, 0.16</t>
  </si>
  <si>
    <r>
      <t>σ</t>
    </r>
    <r>
      <rPr>
        <vertAlign val="superscript"/>
        <sz val="11"/>
        <color theme="1"/>
        <rFont val="Calibri"/>
        <family val="2"/>
        <scheme val="minor"/>
      </rPr>
      <t>2</t>
    </r>
  </si>
  <si>
    <r>
      <t>N </t>
    </r>
    <r>
      <rPr>
        <vertAlign val="subscript"/>
        <sz val="11"/>
        <color theme="1"/>
        <rFont val="Calibri"/>
        <family val="2"/>
        <scheme val="minor"/>
      </rPr>
      <t>stratum</t>
    </r>
  </si>
  <si>
    <t xml:space="preserve">STRATUM 2 </t>
  </si>
  <si>
    <t>## sexo:     1 = Male, 2 = Female</t>
  </si>
  <si>
    <t>## edad_cat: 1 = 6-11, 2 = 12-15</t>
  </si>
  <si>
    <t xml:space="preserve">## clase_2:  1 = Non-manual workers, Manual workers </t>
  </si>
  <si>
    <t>## urb_rur:  1 = Rural, 2 = Semi-Urban, 3 = Urban</t>
  </si>
  <si>
    <t>## survey2:  1 = Post, 2 = Pre</t>
  </si>
  <si>
    <t>0.04 – 0.06</t>
  </si>
  <si>
    <t>sexo [Girls]</t>
  </si>
  <si>
    <t>1.69 – 2.17</t>
  </si>
  <si>
    <t>edad_cat12-15</t>
  </si>
  <si>
    <t>1.30 – 1.66</t>
  </si>
  <si>
    <t>clase 2 [Manual Workers]</t>
  </si>
  <si>
    <t>1.42 – 1.82</t>
  </si>
  <si>
    <t>urb rur [Semi-urban]</t>
  </si>
  <si>
    <t>1.15 – 1.59</t>
  </si>
  <si>
    <t>urb rur [Urban]</t>
  </si>
  <si>
    <t>1.17 – 1.60</t>
  </si>
  <si>
    <t>survey2 [Pre]</t>
  </si>
  <si>
    <t>1.18 – 1.53</t>
  </si>
  <si>
    <t>0.064 / 0.070</t>
  </si>
  <si>
    <t>1.69, 2.17</t>
  </si>
  <si>
    <t>0.04, 0.06</t>
  </si>
  <si>
    <t>1.30, 1.66</t>
  </si>
  <si>
    <t>1.42, 1.82</t>
  </si>
  <si>
    <t>1.15, 1.59</t>
  </si>
  <si>
    <t>1.17, 1.60</t>
  </si>
  <si>
    <t>1.18, 1.53</t>
  </si>
  <si>
    <t>VPC =</t>
  </si>
  <si>
    <t>PCV =</t>
  </si>
  <si>
    <t>stratum</t>
  </si>
  <si>
    <t>n</t>
  </si>
  <si>
    <t>cases</t>
  </si>
  <si>
    <t>prevalence</t>
  </si>
  <si>
    <t>prevalence_pct</t>
  </si>
  <si>
    <t>sexo</t>
  </si>
  <si>
    <t>edad_cat</t>
  </si>
  <si>
    <t>clase_2</t>
  </si>
  <si>
    <t>urb_rur</t>
  </si>
  <si>
    <t>survey2</t>
  </si>
  <si>
    <t>sedentarismo2</t>
  </si>
  <si>
    <t>strataN</t>
  </si>
  <si>
    <t>m0_prob_total</t>
  </si>
  <si>
    <t>m0_prob_fixed</t>
  </si>
  <si>
    <t>m1_log_total</t>
  </si>
  <si>
    <t>m1_log_total_upr</t>
  </si>
  <si>
    <t>m1_log_total_lwr</t>
  </si>
  <si>
    <t>m1_log_fixed</t>
  </si>
  <si>
    <t>m1fit_fixed</t>
  </si>
  <si>
    <t>m1upr_fixed</t>
  </si>
  <si>
    <t>m1lwr_fixed</t>
  </si>
  <si>
    <t>m1fit_total</t>
  </si>
  <si>
    <t>m1upr_total</t>
  </si>
  <si>
    <t>m1lwr_total</t>
  </si>
  <si>
    <t>m1fit_random</t>
  </si>
  <si>
    <t>m1upr_random</t>
  </si>
  <si>
    <t>m1lwr_random</t>
  </si>
  <si>
    <t>sedentarismo2_p</t>
  </si>
  <si>
    <t>Boys</t>
  </si>
  <si>
    <t>Non-Manual Workers</t>
  </si>
  <si>
    <t>Rural</t>
  </si>
  <si>
    <t>Post</t>
  </si>
  <si>
    <t>Pre</t>
  </si>
  <si>
    <t>Semi-urban</t>
  </si>
  <si>
    <t>Urban</t>
  </si>
  <si>
    <t>Manual Workers</t>
  </si>
  <si>
    <t>Girls</t>
  </si>
  <si>
    <t>6 to 11</t>
  </si>
  <si>
    <t>12 to 15</t>
  </si>
  <si>
    <t>observed_prevalence</t>
  </si>
  <si>
    <t>N</t>
  </si>
  <si>
    <t>* p&lt;0.05   ** p&lt;0.01   *** p&lt;0.001</t>
  </si>
  <si>
    <r>
      <t>0.14 </t>
    </r>
    <r>
      <rPr>
        <vertAlign val="superscript"/>
        <sz val="11"/>
        <color theme="1"/>
        <rFont val="Calibri"/>
        <family val="2"/>
        <scheme val="minor"/>
      </rPr>
      <t>***</t>
    </r>
  </si>
  <si>
    <r>
      <t>0.05 </t>
    </r>
    <r>
      <rPr>
        <vertAlign val="superscript"/>
        <sz val="11"/>
        <color theme="1"/>
        <rFont val="Calibri"/>
        <family val="2"/>
        <scheme val="minor"/>
      </rPr>
      <t>***</t>
    </r>
  </si>
  <si>
    <r>
      <t>1.91 </t>
    </r>
    <r>
      <rPr>
        <vertAlign val="superscript"/>
        <sz val="11"/>
        <color theme="1"/>
        <rFont val="Calibri"/>
        <family val="2"/>
        <scheme val="minor"/>
      </rPr>
      <t>***</t>
    </r>
  </si>
  <si>
    <r>
      <t>1.47 </t>
    </r>
    <r>
      <rPr>
        <vertAlign val="superscript"/>
        <sz val="11"/>
        <color theme="1"/>
        <rFont val="Calibri"/>
        <family val="2"/>
        <scheme val="minor"/>
      </rPr>
      <t>***</t>
    </r>
  </si>
  <si>
    <r>
      <t>1.61 </t>
    </r>
    <r>
      <rPr>
        <vertAlign val="superscript"/>
        <sz val="11"/>
        <color theme="1"/>
        <rFont val="Calibri"/>
        <family val="2"/>
        <scheme val="minor"/>
      </rPr>
      <t>***</t>
    </r>
  </si>
  <si>
    <r>
      <t>1.35 </t>
    </r>
    <r>
      <rPr>
        <vertAlign val="superscript"/>
        <sz val="11"/>
        <color theme="1"/>
        <rFont val="Calibri"/>
        <family val="2"/>
        <scheme val="minor"/>
      </rPr>
      <t>***</t>
    </r>
  </si>
  <si>
    <r>
      <t>1.36 </t>
    </r>
    <r>
      <rPr>
        <vertAlign val="superscript"/>
        <sz val="11"/>
        <color theme="1"/>
        <rFont val="Calibri"/>
        <family val="2"/>
        <scheme val="minor"/>
      </rPr>
      <t>***</t>
    </r>
  </si>
  <si>
    <r>
      <t>τ</t>
    </r>
    <r>
      <rPr>
        <vertAlign val="subscript"/>
        <sz val="11"/>
        <color theme="1"/>
        <rFont val="Calibri"/>
        <family val="2"/>
        <scheme val="minor"/>
      </rPr>
      <t>00</t>
    </r>
  </si>
  <si>
    <r>
      <t>0.26 </t>
    </r>
    <r>
      <rPr>
        <vertAlign val="subscript"/>
        <sz val="11"/>
        <color theme="1"/>
        <rFont val="Calibri"/>
        <family val="2"/>
        <scheme val="minor"/>
      </rPr>
      <t>stratum</t>
    </r>
  </si>
  <si>
    <r>
      <t>0.02 </t>
    </r>
    <r>
      <rPr>
        <vertAlign val="subscript"/>
        <sz val="11"/>
        <color theme="1"/>
        <rFont val="Calibri"/>
        <family val="2"/>
        <scheme val="minor"/>
      </rPr>
      <t>stratum</t>
    </r>
  </si>
  <si>
    <r>
      <t>48 </t>
    </r>
    <r>
      <rPr>
        <vertAlign val="subscript"/>
        <sz val="11"/>
        <color theme="1"/>
        <rFont val="Calibri"/>
        <family val="2"/>
        <scheme val="minor"/>
      </rPr>
      <t>stratum</t>
    </r>
  </si>
  <si>
    <t>se_total</t>
  </si>
  <si>
    <t>se_fixed</t>
  </si>
  <si>
    <t>se_diff</t>
  </si>
  <si>
    <t>dif_mean</t>
  </si>
  <si>
    <t>dif_lwr</t>
  </si>
  <si>
    <t>dif_upr</t>
  </si>
  <si>
    <t>rank1</t>
  </si>
  <si>
    <t>rank2</t>
  </si>
  <si>
    <t># STRATUM 3</t>
  </si>
  <si>
    <t>## NUTS1:    1 = Canary Islands, 2 = Centre, 3 = East, 4 = Madrid, 5 = North-East, 6 = North-West, 7 = South</t>
  </si>
  <si>
    <t>0.12 – 0.15</t>
  </si>
  <si>
    <t>0.000 / 0.093</t>
  </si>
  <si>
    <t>0.03 – 0.04</t>
  </si>
  <si>
    <t>1.73 – 2.16</t>
  </si>
  <si>
    <t>1.37 – 1.71</t>
  </si>
  <si>
    <t>1.39 – 1.74</t>
  </si>
  <si>
    <t>NUTS1 [Canary Islands]</t>
  </si>
  <si>
    <t>0.96 – 1.64</t>
  </si>
  <si>
    <t>NUTS1 [Centre]</t>
  </si>
  <si>
    <t>1.17 – 1.77</t>
  </si>
  <si>
    <t>NUTS1 [East]</t>
  </si>
  <si>
    <t>1.39 – 2.06</t>
  </si>
  <si>
    <t>NUTS1 [Madrid]</t>
  </si>
  <si>
    <t>1.12 – 1.80</t>
  </si>
  <si>
    <t>NUTS1 [North-West]</t>
  </si>
  <si>
    <t>1.34 – 2.06</t>
  </si>
  <si>
    <t>NUTS1 [South]</t>
  </si>
  <si>
    <t>2.32 – 3.41</t>
  </si>
  <si>
    <t>1.21 – 1.53</t>
  </si>
  <si>
    <t>0.091 / 0.099</t>
  </si>
  <si>
    <t>NUTS1</t>
  </si>
  <si>
    <t>Canary Islands</t>
  </si>
  <si>
    <t>Centre</t>
  </si>
  <si>
    <t>East</t>
  </si>
  <si>
    <t>Madrid</t>
  </si>
  <si>
    <t>North-East</t>
  </si>
  <si>
    <t>North-West</t>
  </si>
  <si>
    <t>South</t>
  </si>
  <si>
    <t>STRATA 2</t>
  </si>
  <si>
    <t>STRATA 3</t>
  </si>
  <si>
    <t>Rstudio</t>
  </si>
  <si>
    <t>m1_diff</t>
  </si>
  <si>
    <t>m1_diff_lo</t>
  </si>
  <si>
    <t>m1_diff_hi</t>
  </si>
  <si>
    <t>m1_diff_rank</t>
  </si>
  <si>
    <t>lab_y</t>
  </si>
  <si>
    <t>m0_total</t>
  </si>
  <si>
    <t>m0_fixed</t>
  </si>
  <si>
    <t>m1_total</t>
  </si>
  <si>
    <t>m1_fixed</t>
  </si>
  <si>
    <t>m1_fixed_se</t>
  </si>
  <si>
    <t>m1_random_se</t>
  </si>
  <si>
    <t>m1_random</t>
  </si>
  <si>
    <t>m1_prob_total_rank</t>
  </si>
  <si>
    <t>m1_total_lo</t>
  </si>
  <si>
    <t>m1_total_hi</t>
  </si>
  <si>
    <t>m1_total_prob</t>
  </si>
  <si>
    <t>Table 1. Descriptive Summary of Study Sample by Sedentarism</t>
  </si>
  <si>
    <t>Counts and percentages of variables used to define strata</t>
  </si>
  <si>
    <t>Characteristic</t>
  </si>
  <si>
    <t>Overall</t>
  </si>
  <si>
    <t>No</t>
  </si>
  <si>
    <t>Yes</t>
  </si>
  <si>
    <t>Sex</t>
  </si>
  <si>
    <t>    Male</t>
  </si>
  <si>
    <t>10,013 (51.3%)</t>
  </si>
  <si>
    <t>8,983 (53.6%)</t>
  </si>
  <si>
    <t>1,030 (37.5%)</t>
  </si>
  <si>
    <t>    Female</t>
  </si>
  <si>
    <t>9,490 (48.7%)</t>
  </si>
  <si>
    <t>7,770 (46.4%)</t>
  </si>
  <si>
    <t>1,720 (62.5%)</t>
  </si>
  <si>
    <t>Age Group</t>
  </si>
  <si>
    <t>    6-11</t>
  </si>
  <si>
    <t>11,092 (56.9%)</t>
  </si>
  <si>
    <t>9,762 (58.3%)</t>
  </si>
  <si>
    <t>1,330 (48.4%)</t>
  </si>
  <si>
    <t>    12-15</t>
  </si>
  <si>
    <t>8,411 (43.1%)</t>
  </si>
  <si>
    <t>6,991 (41.7%)</t>
  </si>
  <si>
    <t>1,420 (51.6%)</t>
  </si>
  <si>
    <t>Occupational Social Class</t>
  </si>
  <si>
    <t>    Non-Manual Workers</t>
  </si>
  <si>
    <t>7,472 (44.6%)</t>
  </si>
  <si>
    <t>939 (34.1%)</t>
  </si>
  <si>
    <t>    Manual Workers</t>
  </si>
  <si>
    <t>9,281 (55.4%)</t>
  </si>
  <si>
    <t>1,811 (65.9%)</t>
  </si>
  <si>
    <t>NUTS Region</t>
  </si>
  <si>
    <t>    Canary Islands</t>
  </si>
  <si>
    <t>955 (4.9%)</t>
  </si>
  <si>
    <t>846 (5.0%)</t>
  </si>
  <si>
    <t>109 (4.0%)</t>
  </si>
  <si>
    <t>    Centre</t>
  </si>
  <si>
    <t>3,114 (16.0%)</t>
  </si>
  <si>
    <t>2,720 (16.2%)</t>
  </si>
  <si>
    <t>394 (14.3%)</t>
  </si>
  <si>
    <t>    East</t>
  </si>
  <si>
    <t>4,098 (21.0%)</t>
  </si>
  <si>
    <t>3,533 (21.1%)</t>
  </si>
  <si>
    <t>565 (20.5%)</t>
  </si>
  <si>
    <t>    Madrid</t>
  </si>
  <si>
    <t>1,572 (8.1%)</t>
  </si>
  <si>
    <t>1,392 (8.3%)</t>
  </si>
  <si>
    <t>180 (6.5%)</t>
  </si>
  <si>
    <t>    North-East</t>
  </si>
  <si>
    <t>3,303 (16.9%)</t>
  </si>
  <si>
    <t>2,999 (17.9%)</t>
  </si>
  <si>
    <t>304 (11.1%)</t>
  </si>
  <si>
    <t>    North-West</t>
  </si>
  <si>
    <t>2,380 (12.2%)</t>
  </si>
  <si>
    <t>2,039 (12.2%)</t>
  </si>
  <si>
    <t>341 (12.4%)</t>
  </si>
  <si>
    <t>    South</t>
  </si>
  <si>
    <t>4,081 (20.9%)</t>
  </si>
  <si>
    <t>3,224 (19.2%)</t>
  </si>
  <si>
    <t>857 (31.2%)</t>
  </si>
  <si>
    <t>Pre-Post</t>
  </si>
  <si>
    <t>    Post</t>
  </si>
  <si>
    <t>6,428 (33.0%)</t>
  </si>
  <si>
    <t>5,640 (33.7%)</t>
  </si>
  <si>
    <t>788 (28.7%)</t>
  </si>
  <si>
    <t>    Pre</t>
  </si>
  <si>
    <t>13,075 (67.0%)</t>
  </si>
  <si>
    <t>11,113 (66.3%)</t>
  </si>
  <si>
    <t>1,962 (71.3%)</t>
  </si>
  <si>
    <r>
      <t>N = 19,503</t>
    </r>
    <r>
      <rPr>
        <i/>
        <vertAlign val="superscript"/>
        <sz val="11"/>
        <color rgb="FF333333"/>
        <rFont val="Calibri"/>
        <family val="2"/>
        <scheme val="minor"/>
      </rPr>
      <t>1</t>
    </r>
  </si>
  <si>
    <r>
      <t>N = 16,753</t>
    </r>
    <r>
      <rPr>
        <i/>
        <vertAlign val="superscript"/>
        <sz val="11"/>
        <color rgb="FF333333"/>
        <rFont val="Calibri"/>
        <family val="2"/>
        <scheme val="minor"/>
      </rPr>
      <t>1</t>
    </r>
  </si>
  <si>
    <r>
      <t>N = 2,750</t>
    </r>
    <r>
      <rPr>
        <i/>
        <vertAlign val="superscript"/>
        <sz val="11"/>
        <color rgb="FF333333"/>
        <rFont val="Calibri"/>
        <family val="2"/>
        <scheme val="minor"/>
      </rPr>
      <t>1</t>
    </r>
  </si>
  <si>
    <r>
      <t>1</t>
    </r>
    <r>
      <rPr>
        <sz val="11"/>
        <color rgb="FF333333"/>
        <rFont val="Calibri"/>
        <family val="2"/>
        <scheme val="minor"/>
      </rPr>
      <t> n (%)</t>
    </r>
  </si>
  <si>
    <t>Prevalence of sedentarism per strata</t>
  </si>
  <si>
    <t>Sample Size Per Stratum</t>
  </si>
  <si>
    <t>Number of Strata</t>
  </si>
  <si>
    <t>% of Strata</t>
  </si>
  <si>
    <t>500 or more</t>
  </si>
  <si>
    <t>450 or more</t>
  </si>
  <si>
    <t>400 or more</t>
  </si>
  <si>
    <t>350 or more</t>
  </si>
  <si>
    <t>300 or more</t>
  </si>
  <si>
    <t>250 or more</t>
  </si>
  <si>
    <t>200 or more</t>
  </si>
  <si>
    <t>175 or more</t>
  </si>
  <si>
    <t>150 or more</t>
  </si>
  <si>
    <t>100 or more</t>
  </si>
  <si>
    <t>90 or more</t>
  </si>
  <si>
    <t>80 or more</t>
  </si>
  <si>
    <t>70 or more</t>
  </si>
  <si>
    <t>60 or more</t>
  </si>
  <si>
    <t>50 or more</t>
  </si>
  <si>
    <t>40 or more</t>
  </si>
  <si>
    <t>30 or more</t>
  </si>
  <si>
    <t>20 or more</t>
  </si>
  <si>
    <t>10 or more</t>
  </si>
  <si>
    <r>
      <t>τ</t>
    </r>
    <r>
      <rPr>
        <vertAlign val="subscript"/>
        <sz val="11"/>
        <color theme="1"/>
        <rFont val="Times New Roman"/>
        <family val="1"/>
      </rPr>
      <t>00</t>
    </r>
    <r>
      <rPr>
        <sz val="11"/>
        <color theme="1"/>
        <rFont val="Times New Roman"/>
        <family val="1"/>
      </rPr>
      <t> </t>
    </r>
    <r>
      <rPr>
        <vertAlign val="subscript"/>
        <sz val="11"/>
        <color theme="1"/>
        <rFont val="Times New Roman"/>
        <family val="1"/>
      </rPr>
      <t>stratum4</t>
    </r>
  </si>
  <si>
    <r>
      <t>N </t>
    </r>
    <r>
      <rPr>
        <vertAlign val="subscript"/>
        <sz val="11"/>
        <color theme="1"/>
        <rFont val="Times New Roman"/>
        <family val="1"/>
      </rPr>
      <t>stratum4</t>
    </r>
  </si>
  <si>
    <t>0.000 / 0.080</t>
  </si>
  <si>
    <t>VPC0</t>
  </si>
  <si>
    <t># STRATUM 4</t>
  </si>
  <si>
    <r>
      <t>τ</t>
    </r>
    <r>
      <rPr>
        <vertAlign val="subscript"/>
        <sz val="11"/>
        <color theme="1"/>
        <rFont val="Calibri"/>
        <family val="2"/>
        <scheme val="minor"/>
      </rPr>
      <t>00</t>
    </r>
    <r>
      <rPr>
        <sz val="11"/>
        <color theme="1"/>
        <rFont val="Calibri"/>
        <family val="2"/>
        <scheme val="minor"/>
      </rPr>
      <t> </t>
    </r>
    <r>
      <rPr>
        <vertAlign val="subscript"/>
        <sz val="11"/>
        <color theme="1"/>
        <rFont val="Calibri"/>
        <family val="2"/>
        <scheme val="minor"/>
      </rPr>
      <t>stratum</t>
    </r>
  </si>
  <si>
    <r>
      <t>Marginal R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 / Conditional R</t>
    </r>
    <r>
      <rPr>
        <vertAlign val="superscript"/>
        <sz val="11"/>
        <color theme="1"/>
        <rFont val="Calibri"/>
        <family val="2"/>
        <scheme val="minor"/>
      </rPr>
      <t>2</t>
    </r>
  </si>
  <si>
    <r>
      <t>0.13 </t>
    </r>
    <r>
      <rPr>
        <vertAlign val="superscript"/>
        <sz val="11"/>
        <color theme="1"/>
        <rFont val="Calibri"/>
        <family val="2"/>
        <scheme val="minor"/>
      </rPr>
      <t>***</t>
    </r>
  </si>
  <si>
    <r>
      <t>0.03 </t>
    </r>
    <r>
      <rPr>
        <vertAlign val="superscript"/>
        <sz val="11"/>
        <color theme="1"/>
        <rFont val="Calibri"/>
        <family val="2"/>
        <scheme val="minor"/>
      </rPr>
      <t>***</t>
    </r>
  </si>
  <si>
    <r>
      <t>1.93 </t>
    </r>
    <r>
      <rPr>
        <vertAlign val="superscript"/>
        <sz val="11"/>
        <color theme="1"/>
        <rFont val="Calibri"/>
        <family val="2"/>
        <scheme val="minor"/>
      </rPr>
      <t>***</t>
    </r>
  </si>
  <si>
    <r>
      <t>1.53 </t>
    </r>
    <r>
      <rPr>
        <vertAlign val="superscript"/>
        <sz val="11"/>
        <color theme="1"/>
        <rFont val="Calibri"/>
        <family val="2"/>
        <scheme val="minor"/>
      </rPr>
      <t>***</t>
    </r>
  </si>
  <si>
    <r>
      <t>1.56 </t>
    </r>
    <r>
      <rPr>
        <vertAlign val="superscript"/>
        <sz val="11"/>
        <color theme="1"/>
        <rFont val="Calibri"/>
        <family val="2"/>
        <scheme val="minor"/>
      </rPr>
      <t>***</t>
    </r>
  </si>
  <si>
    <r>
      <t>1.44 </t>
    </r>
    <r>
      <rPr>
        <vertAlign val="superscript"/>
        <sz val="11"/>
        <color theme="1"/>
        <rFont val="Calibri"/>
        <family val="2"/>
        <scheme val="minor"/>
      </rPr>
      <t>***</t>
    </r>
  </si>
  <si>
    <r>
      <t>1.69 </t>
    </r>
    <r>
      <rPr>
        <vertAlign val="superscript"/>
        <sz val="11"/>
        <color theme="1"/>
        <rFont val="Calibri"/>
        <family val="2"/>
        <scheme val="minor"/>
      </rPr>
      <t>***</t>
    </r>
  </si>
  <si>
    <r>
      <t>1.42 </t>
    </r>
    <r>
      <rPr>
        <vertAlign val="superscript"/>
        <sz val="11"/>
        <color theme="1"/>
        <rFont val="Calibri"/>
        <family val="2"/>
        <scheme val="minor"/>
      </rPr>
      <t>**</t>
    </r>
  </si>
  <si>
    <r>
      <t>1.66 </t>
    </r>
    <r>
      <rPr>
        <vertAlign val="superscript"/>
        <sz val="11"/>
        <color theme="1"/>
        <rFont val="Calibri"/>
        <family val="2"/>
        <scheme val="minor"/>
      </rPr>
      <t>***</t>
    </r>
  </si>
  <si>
    <r>
      <t>2.82 </t>
    </r>
    <r>
      <rPr>
        <vertAlign val="superscript"/>
        <sz val="11"/>
        <color theme="1"/>
        <rFont val="Calibri"/>
        <family val="2"/>
        <scheme val="minor"/>
      </rPr>
      <t>***</t>
    </r>
  </si>
  <si>
    <r>
      <t>0.34 </t>
    </r>
    <r>
      <rPr>
        <vertAlign val="subscript"/>
        <sz val="11"/>
        <color theme="1"/>
        <rFont val="Calibri"/>
        <family val="2"/>
        <scheme val="minor"/>
      </rPr>
      <t>stratum</t>
    </r>
  </si>
  <si>
    <r>
      <t>0.03 </t>
    </r>
    <r>
      <rPr>
        <vertAlign val="subscript"/>
        <sz val="11"/>
        <color theme="1"/>
        <rFont val="Calibri"/>
        <family val="2"/>
        <scheme val="minor"/>
      </rPr>
      <t>stratum</t>
    </r>
  </si>
  <si>
    <r>
      <t>112 </t>
    </r>
    <r>
      <rPr>
        <vertAlign val="subscript"/>
        <sz val="11"/>
        <color theme="1"/>
        <rFont val="Calibri"/>
        <family val="2"/>
        <scheme val="minor"/>
      </rPr>
      <t>stratum</t>
    </r>
  </si>
  <si>
    <r>
      <t>τ</t>
    </r>
    <r>
      <rPr>
        <vertAlign val="subscript"/>
        <sz val="11"/>
        <color theme="1"/>
        <rFont val="Calibri"/>
        <family val="2"/>
        <scheme val="minor"/>
      </rPr>
      <t>00</t>
    </r>
    <r>
      <rPr>
        <sz val="11"/>
        <color theme="1"/>
        <rFont val="Calibri"/>
        <family val="2"/>
        <scheme val="minor"/>
      </rPr>
      <t> </t>
    </r>
    <r>
      <rPr>
        <vertAlign val="subscript"/>
        <sz val="11"/>
        <color theme="1"/>
        <rFont val="Calibri"/>
        <family val="2"/>
        <scheme val="minor"/>
      </rPr>
      <t>stratum4</t>
    </r>
  </si>
  <si>
    <r>
      <t>N </t>
    </r>
    <r>
      <rPr>
        <vertAlign val="subscript"/>
        <sz val="11"/>
        <color theme="1"/>
        <rFont val="Calibri"/>
        <family val="2"/>
        <scheme val="minor"/>
      </rPr>
      <t>stratum4</t>
    </r>
  </si>
  <si>
    <r>
      <t>ρ</t>
    </r>
    <r>
      <rPr>
        <vertAlign val="subscript"/>
        <sz val="11"/>
        <color theme="1"/>
        <rFont val="Calibri"/>
        <family val="2"/>
        <scheme val="minor"/>
      </rPr>
      <t>01</t>
    </r>
    <r>
      <rPr>
        <sz val="11"/>
        <color theme="1"/>
        <rFont val="Calibri"/>
        <family val="2"/>
        <scheme val="minor"/>
      </rPr>
      <t> </t>
    </r>
    <r>
      <rPr>
        <vertAlign val="subscript"/>
        <sz val="11"/>
        <color theme="1"/>
        <rFont val="Calibri"/>
        <family val="2"/>
        <scheme val="minor"/>
      </rPr>
      <t>stratum4</t>
    </r>
  </si>
  <si>
    <t>948241402350564016168.00 – 124698667160194988576622048446062.00</t>
  </si>
  <si>
    <t>1.76 – 2.18</t>
  </si>
  <si>
    <t>1.39 – 1.73</t>
  </si>
  <si>
    <t>1.38 – 1.71</t>
  </si>
  <si>
    <t>0.94 – 1.59</t>
  </si>
  <si>
    <t>1.11 – 1.64</t>
  </si>
  <si>
    <t>1.39 – 2.03</t>
  </si>
  <si>
    <t>1.10 – 1.73</t>
  </si>
  <si>
    <t>1.33 – 1.99</t>
  </si>
  <si>
    <t>2.26 – 3.26</t>
  </si>
  <si>
    <t>survey num</t>
  </si>
  <si>
    <t>0.96 – 0.97</t>
  </si>
  <si>
    <t>0.098 / 0.101</t>
  </si>
  <si>
    <r>
      <t>τ</t>
    </r>
    <r>
      <rPr>
        <vertAlign val="sub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 </t>
    </r>
    <r>
      <rPr>
        <vertAlign val="subscript"/>
        <sz val="11"/>
        <color theme="1"/>
        <rFont val="Calibri"/>
        <family val="2"/>
        <scheme val="minor"/>
      </rPr>
      <t>stratum4.survey_num</t>
    </r>
  </si>
  <si>
    <t>1.75 – 2.17</t>
  </si>
  <si>
    <t>1.40 – 1.73</t>
  </si>
  <si>
    <t>1.36 – 1.69</t>
  </si>
  <si>
    <t>0.95 – 1.60</t>
  </si>
  <si>
    <t>1.14 – 1.70</t>
  </si>
  <si>
    <t>1.38 – 2.01</t>
  </si>
  <si>
    <t>1.34 – 2.01</t>
  </si>
  <si>
    <t>2.22 – 3.20</t>
  </si>
  <si>
    <t>1.18 – 1.42</t>
  </si>
  <si>
    <t>0.088 / 0.091</t>
  </si>
  <si>
    <t>model1 &lt;- glmer(sedentarismo ~ sexo + edad_cat + clase_2 + NUTS1 + survey_num + (1 + survey_num|stratum4), data = dt, family = "binomial")</t>
  </si>
  <si>
    <t>model1 &lt;- glmer(sedentarismo ~ sexo + edad_cat + clase_2 + NUTS1 + survey2 + (1|stratum4), data = dt, family = "binomial")</t>
  </si>
  <si>
    <t>binary surveyvariable for fixed</t>
  </si>
  <si>
    <t>continuous survey variable fixed and random slope</t>
  </si>
  <si>
    <t>model0_4 &lt;- glmer(sedentarismo ~ (1|stratum4), data = dt, family = "binomial")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</si>
</sst>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i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333333"/>
      <name val="Calibri"/>
      <family val="2"/>
      <scheme val="minor"/>
    </font>
    <font>
      <i/>
      <vertAlign val="superscript"/>
      <sz val="11"/>
      <color rgb="FF33333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4" fillId="0" borderId="3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16" fontId="0" fillId="0" borderId="0" xfId="0" applyNumberFormat="1"/>
    <xf numFmtId="1" fontId="0" fillId="0" borderId="0" xfId="0" applyNumberFormat="1"/>
    <xf numFmtId="2" fontId="0" fillId="0" borderId="0" xfId="0" applyNumberFormat="1"/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wrapText="1"/>
    </xf>
    <xf numFmtId="0" fontId="11" fillId="0" borderId="0" xfId="0" applyFont="1" applyAlignment="1">
      <alignment horizontal="center" wrapText="1"/>
    </xf>
    <xf numFmtId="0" fontId="12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164" fontId="17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13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right" vertical="center" wrapText="1"/>
    </xf>
    <xf numFmtId="0" fontId="0" fillId="0" borderId="0" xfId="0" applyFont="1" applyAlignment="1">
      <alignment horizontal="left" vertical="top" wrapText="1"/>
    </xf>
    <xf numFmtId="0" fontId="0" fillId="0" borderId="0" xfId="0" applyFont="1"/>
    <xf numFmtId="0" fontId="0" fillId="0" borderId="0" xfId="0" applyFont="1" applyAlignment="1">
      <alignment horizontal="center" vertical="top" wrapText="1"/>
    </xf>
    <xf numFmtId="0" fontId="0" fillId="0" borderId="0" xfId="0" applyFont="1" applyAlignment="1">
      <alignment horizontal="left" vertical="top" wrapText="1"/>
    </xf>
    <xf numFmtId="0" fontId="0" fillId="0" borderId="2" xfId="0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  <xf numFmtId="0" fontId="0" fillId="0" borderId="4" xfId="0" applyFont="1" applyBorder="1" applyAlignment="1">
      <alignment horizontal="left" vertical="top" wrapText="1"/>
    </xf>
    <xf numFmtId="0" fontId="0" fillId="2" borderId="0" xfId="0" applyFont="1" applyFill="1"/>
    <xf numFmtId="2" fontId="0" fillId="0" borderId="0" xfId="0" applyNumberFormat="1" applyFont="1"/>
    <xf numFmtId="10" fontId="0" fillId="0" borderId="0" xfId="0" applyNumberFormat="1" applyFont="1"/>
    <xf numFmtId="0" fontId="0" fillId="0" borderId="2" xfId="0" applyFont="1" applyBorder="1" applyAlignment="1">
      <alignment horizontal="left" vertical="top"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24"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1" formatCode="dd/mmm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1" formatCode="dd/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16C285-A25A-42D4-A15C-826E77F22842}" name="Tabla2" displayName="Tabla2" ref="A1:W49" totalsRowShown="0">
  <autoFilter ref="A1:W49" xr:uid="{2816C285-A25A-42D4-A15C-826E77F22842}"/>
  <sortState xmlns:xlrd2="http://schemas.microsoft.com/office/spreadsheetml/2017/richdata2" ref="A2:W49">
    <sortCondition ref="W1:W49"/>
  </sortState>
  <tableColumns count="23">
    <tableColumn id="1" xr3:uid="{A86110BB-EEA6-48A6-BE16-E7DE4161731A}" name="stratum"/>
    <tableColumn id="11" xr3:uid="{B08EDD97-8694-4E8D-9FB2-8B2EDBF4901D}" name="strataN"/>
    <tableColumn id="10" xr3:uid="{B3A390C0-C8FE-4834-8A49-906ED249A86D}" name="sexo"/>
    <tableColumn id="9" xr3:uid="{E686D71B-E54F-47C7-806B-31C4964C624C}" name="edad_cat" dataDxfId="23"/>
    <tableColumn id="8" xr3:uid="{C64BAFA5-16A9-4F49-8BA1-4F217B1DF696}" name="clase_2"/>
    <tableColumn id="7" xr3:uid="{196E8562-DFF4-45B4-8EF7-B312A44B172F}" name="urb_rur"/>
    <tableColumn id="6" xr3:uid="{669588DC-70B4-43D9-8C65-E472F4DAD286}" name="survey2"/>
    <tableColumn id="25" xr3:uid="{7C947278-3540-4633-95C4-84276206EA09}" name="sedentarismo2"/>
    <tableColumn id="24" xr3:uid="{C579E3B4-4F84-47AD-A809-E7966CE4C100}" name="m0_total"/>
    <tableColumn id="23" xr3:uid="{8DAC6BA2-F79D-40CE-B363-539F868174C8}" name="m0_fixed"/>
    <tableColumn id="22" xr3:uid="{8159F5BF-C3DF-4255-AEE3-641E4B81904E}" name="m1_total"/>
    <tableColumn id="21" xr3:uid="{4A552C36-3299-4F06-BDBC-F1AF82A04420}" name="m1_fixed"/>
    <tableColumn id="20" xr3:uid="{4EBB0F56-75D1-46C0-A93E-7541074E942B}" name="m1_fixed_se"/>
    <tableColumn id="19" xr3:uid="{E1CB5E92-42DA-4BA0-93C0-9B7FBC0811C7}" name="m1_random_se"/>
    <tableColumn id="18" xr3:uid="{D94D57DF-3057-4AB2-8CEE-070390ECC48D}" name="m1_random"/>
    <tableColumn id="17" xr3:uid="{6E14A61B-77D7-4EA7-961A-C61AA526EDFC}" name="m1_total_prob" dataDxfId="22"/>
    <tableColumn id="15" xr3:uid="{E6E9D9BD-45BB-4BBE-8518-30F0A30920A8}" name="m1_total_lo" dataDxfId="21"/>
    <tableColumn id="14" xr3:uid="{244B1EAD-6BBC-42C3-9E00-251993432FBA}" name="m1_total_hi" dataDxfId="20"/>
    <tableColumn id="26" xr3:uid="{83BEEE91-AE58-4F87-97E5-362A486B9175}" name="m1_prob_total_rank" dataDxfId="19"/>
    <tableColumn id="4" xr3:uid="{E703271C-E5A9-4FAD-AB07-D90579664BFA}" name="m1_diff" dataDxfId="18"/>
    <tableColumn id="2" xr3:uid="{755F289A-0165-4094-90E9-BB094817FC1C}" name="m1_diff_lo" dataDxfId="17"/>
    <tableColumn id="3" xr3:uid="{C476D253-C73E-4D2F-814D-60DAA921374A}" name="m1_diff_hi" dataDxfId="16"/>
    <tableColumn id="5" xr3:uid="{AB264A8E-00C5-4E8A-9808-CC860CADC9BC}" name="m1_diff_ran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6122D4-E01A-4369-982C-24028D703869}" name="Tabla1" displayName="Tabla1" ref="A1:W113" totalsRowShown="0">
  <autoFilter ref="A1:W113" xr:uid="{A46122D4-E01A-4369-982C-24028D703869}"/>
  <sortState xmlns:xlrd2="http://schemas.microsoft.com/office/spreadsheetml/2017/richdata2" ref="A2:W113">
    <sortCondition ref="S1:S113"/>
  </sortState>
  <tableColumns count="23">
    <tableColumn id="1" xr3:uid="{829F8428-407F-4BAA-B858-79DBB6B6404D}" name="stratum"/>
    <tableColumn id="11" xr3:uid="{85C94639-F23C-426C-913A-995E0D7E91D3}" name="n"/>
    <tableColumn id="16" xr3:uid="{73C52737-A97F-45DE-AF3B-DD6F87FCC214}" name="sexo"/>
    <tableColumn id="15" xr3:uid="{0212870F-5965-4F95-9BB8-22BE5F38EE7F}" name="edad_cat" dataDxfId="15"/>
    <tableColumn id="14" xr3:uid="{2DB5A6EC-0769-47D2-A028-87CD9CDA7279}" name="clase_2"/>
    <tableColumn id="13" xr3:uid="{41F2B65F-08BE-4607-B8D8-BD90F25EAE20}" name="NUTS1"/>
    <tableColumn id="12" xr3:uid="{36F2A99A-F17D-4A7A-B7DF-EB75AFA3D084}" name="survey2"/>
    <tableColumn id="30" xr3:uid="{D33671A3-3D45-4AC9-B027-19D23E22BE04}" name="sedentarismo2" dataDxfId="14"/>
    <tableColumn id="29" xr3:uid="{7F6C78F0-8CC1-4FC9-A123-308AC89D356B}" name="m0_total" dataDxfId="13"/>
    <tableColumn id="28" xr3:uid="{BAF91CEB-688C-4D3F-8C64-83A5DCD62664}" name="m0_fixed" dataDxfId="12"/>
    <tableColumn id="27" xr3:uid="{518F2FAE-2B1F-4F8C-8FDA-447EB36C7768}" name="m1_total" dataDxfId="11"/>
    <tableColumn id="26" xr3:uid="{24F69FCC-28DF-45BF-903B-B4FB1C8938A1}" name="m1_fixed" dataDxfId="10"/>
    <tableColumn id="25" xr3:uid="{2C28CDF5-783F-4210-A8AE-9CC643526C19}" name="m1_fixed_se" dataDxfId="9"/>
    <tableColumn id="24" xr3:uid="{64AFAD9A-BAF9-4BD7-84D3-38098BB3A942}" name="m1_random_se" dataDxfId="8"/>
    <tableColumn id="23" xr3:uid="{B21931E7-B163-451E-8F20-3EB4D9900742}" name="m1_random" dataDxfId="7"/>
    <tableColumn id="22" xr3:uid="{A9538C84-3104-46C9-B783-AF98BE44759E}" name="m1_total_prob" dataDxfId="6"/>
    <tableColumn id="20" xr3:uid="{39D20474-85AF-4777-8280-54DFA63E0F37}" name="m1_total_lo" dataDxfId="5"/>
    <tableColumn id="19" xr3:uid="{DCC38DBE-6915-4376-9B3C-030BEC89A266}" name="m1_total_hi" dataDxfId="4"/>
    <tableColumn id="31" xr3:uid="{BD6340A3-6AE8-4C36-8241-E3549837F97E}" name="m1_prob_total_rank" dataDxfId="3"/>
    <tableColumn id="2" xr3:uid="{E208A36A-1885-4F95-8D7C-D2C49E202B40}" name="m1_diff" dataDxfId="2"/>
    <tableColumn id="3" xr3:uid="{349B94C3-DDCB-4EB9-821A-1E8675B6E49B}" name="m1_diff_lo" dataDxfId="1"/>
    <tableColumn id="4" xr3:uid="{C322F374-CC2E-43D9-9DB2-D88C81703E38}" name="m1_diff_hi" dataDxfId="0"/>
    <tableColumn id="10" xr3:uid="{2AB26FCA-7B25-4060-AF47-96F58F1BC4C9}" name="m1_diff_ra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B3A1C-3392-4BFB-A674-2D0A44EA492C}">
  <dimension ref="A1:O115"/>
  <sheetViews>
    <sheetView workbookViewId="0">
      <selection activeCell="G88" sqref="G88:I88"/>
    </sheetView>
  </sheetViews>
  <sheetFormatPr baseColWidth="10" defaultRowHeight="15" x14ac:dyDescent="0.25"/>
  <cols>
    <col min="1" max="1" width="22.7109375" customWidth="1"/>
    <col min="12" max="12" width="11.140625" style="19" bestFit="1" customWidth="1"/>
    <col min="13" max="15" width="11.5703125" style="19"/>
  </cols>
  <sheetData>
    <row r="1" spans="1:15" ht="38.450000000000003" customHeight="1" x14ac:dyDescent="0.25">
      <c r="A1" s="33" t="s">
        <v>157</v>
      </c>
      <c r="B1" s="33"/>
      <c r="C1" s="33"/>
      <c r="D1" s="33"/>
    </row>
    <row r="2" spans="1:15" ht="47.25" x14ac:dyDescent="0.25">
      <c r="A2" s="33" t="s">
        <v>158</v>
      </c>
      <c r="B2" s="33"/>
      <c r="C2" s="33"/>
      <c r="D2" s="33"/>
      <c r="G2" t="s">
        <v>230</v>
      </c>
      <c r="L2" s="20" t="s">
        <v>231</v>
      </c>
      <c r="M2" s="21" t="s">
        <v>232</v>
      </c>
      <c r="N2" s="21" t="s">
        <v>233</v>
      </c>
    </row>
    <row r="3" spans="1:15" ht="30" x14ac:dyDescent="0.25">
      <c r="A3" s="34" t="s">
        <v>159</v>
      </c>
      <c r="B3" s="15" t="s">
        <v>160</v>
      </c>
      <c r="C3" s="15" t="s">
        <v>161</v>
      </c>
      <c r="D3" s="15" t="s">
        <v>162</v>
      </c>
      <c r="H3" s="19" t="s">
        <v>161</v>
      </c>
      <c r="I3" s="19" t="s">
        <v>162</v>
      </c>
      <c r="L3" s="22" t="s">
        <v>234</v>
      </c>
      <c r="M3" s="23">
        <v>0</v>
      </c>
      <c r="N3" s="25">
        <v>0</v>
      </c>
      <c r="O3" s="23">
        <v>0</v>
      </c>
    </row>
    <row r="4" spans="1:15" ht="30" x14ac:dyDescent="0.25">
      <c r="A4" s="34"/>
      <c r="B4" s="16" t="s">
        <v>226</v>
      </c>
      <c r="C4" s="16" t="s">
        <v>227</v>
      </c>
      <c r="D4" s="16" t="s">
        <v>228</v>
      </c>
      <c r="G4">
        <v>11111</v>
      </c>
      <c r="H4">
        <v>92.3</v>
      </c>
      <c r="I4">
        <v>7.7</v>
      </c>
      <c r="L4" s="22" t="s">
        <v>235</v>
      </c>
      <c r="M4" s="23">
        <v>2</v>
      </c>
      <c r="N4" s="25">
        <f t="shared" ref="N4:N21" si="0">O4*100</f>
        <v>1.7857142857142856</v>
      </c>
      <c r="O4" s="23">
        <f t="shared" ref="O4:O21" si="1">M4/112</f>
        <v>1.7857142857142856E-2</v>
      </c>
    </row>
    <row r="5" spans="1:15" ht="30" x14ac:dyDescent="0.25">
      <c r="A5" s="17" t="s">
        <v>163</v>
      </c>
      <c r="B5" s="14"/>
      <c r="C5" s="14"/>
      <c r="D5" s="14"/>
      <c r="G5">
        <v>11112</v>
      </c>
      <c r="H5">
        <v>91.4</v>
      </c>
      <c r="I5">
        <v>8.6</v>
      </c>
      <c r="L5" s="22" t="s">
        <v>236</v>
      </c>
      <c r="M5" s="23">
        <v>3</v>
      </c>
      <c r="N5" s="25">
        <f t="shared" si="0"/>
        <v>2.6785714285714284</v>
      </c>
      <c r="O5" s="23">
        <f t="shared" si="1"/>
        <v>2.6785714285714284E-2</v>
      </c>
    </row>
    <row r="6" spans="1:15" ht="30" x14ac:dyDescent="0.25">
      <c r="A6" s="18" t="s">
        <v>164</v>
      </c>
      <c r="B6" s="14" t="s">
        <v>165</v>
      </c>
      <c r="C6" s="14" t="s">
        <v>166</v>
      </c>
      <c r="D6" s="14" t="s">
        <v>167</v>
      </c>
      <c r="G6">
        <v>11121</v>
      </c>
      <c r="H6">
        <v>96.7</v>
      </c>
      <c r="I6">
        <v>3.3</v>
      </c>
      <c r="L6" s="22" t="s">
        <v>237</v>
      </c>
      <c r="M6" s="23">
        <v>5</v>
      </c>
      <c r="N6" s="25">
        <f t="shared" si="0"/>
        <v>4.4642857142857144</v>
      </c>
      <c r="O6" s="23">
        <f t="shared" si="1"/>
        <v>4.4642857142857144E-2</v>
      </c>
    </row>
    <row r="7" spans="1:15" ht="30" x14ac:dyDescent="0.25">
      <c r="A7" s="18" t="s">
        <v>168</v>
      </c>
      <c r="B7" s="14" t="s">
        <v>169</v>
      </c>
      <c r="C7" s="14" t="s">
        <v>170</v>
      </c>
      <c r="D7" s="14" t="s">
        <v>171</v>
      </c>
      <c r="G7">
        <v>11122</v>
      </c>
      <c r="H7">
        <v>94</v>
      </c>
      <c r="I7">
        <v>6</v>
      </c>
      <c r="L7" s="22" t="s">
        <v>238</v>
      </c>
      <c r="M7" s="23">
        <v>16</v>
      </c>
      <c r="N7" s="25">
        <f t="shared" si="0"/>
        <v>14.285714285714285</v>
      </c>
      <c r="O7" s="23">
        <f t="shared" si="1"/>
        <v>0.14285714285714285</v>
      </c>
    </row>
    <row r="8" spans="1:15" ht="30" x14ac:dyDescent="0.25">
      <c r="A8" s="17" t="s">
        <v>172</v>
      </c>
      <c r="B8" s="14"/>
      <c r="C8" s="14"/>
      <c r="D8" s="14"/>
      <c r="G8">
        <v>11131</v>
      </c>
      <c r="H8">
        <v>89.4</v>
      </c>
      <c r="I8">
        <v>10.6</v>
      </c>
      <c r="L8" s="22" t="s">
        <v>239</v>
      </c>
      <c r="M8" s="23">
        <v>30</v>
      </c>
      <c r="N8" s="25">
        <f t="shared" si="0"/>
        <v>26.785714285714285</v>
      </c>
      <c r="O8" s="23">
        <f t="shared" si="1"/>
        <v>0.26785714285714285</v>
      </c>
    </row>
    <row r="9" spans="1:15" ht="30" x14ac:dyDescent="0.25">
      <c r="A9" s="18" t="s">
        <v>173</v>
      </c>
      <c r="B9" s="14" t="s">
        <v>174</v>
      </c>
      <c r="C9" s="14" t="s">
        <v>175</v>
      </c>
      <c r="D9" s="14" t="s">
        <v>176</v>
      </c>
      <c r="G9">
        <v>11132</v>
      </c>
      <c r="H9">
        <v>90.8</v>
      </c>
      <c r="I9">
        <v>9.1999999999999993</v>
      </c>
      <c r="L9" s="22" t="s">
        <v>240</v>
      </c>
      <c r="M9" s="23">
        <v>41</v>
      </c>
      <c r="N9" s="25">
        <f t="shared" si="0"/>
        <v>36.607142857142854</v>
      </c>
      <c r="O9" s="23">
        <f t="shared" si="1"/>
        <v>0.36607142857142855</v>
      </c>
    </row>
    <row r="10" spans="1:15" ht="30" x14ac:dyDescent="0.25">
      <c r="A10" s="18" t="s">
        <v>177</v>
      </c>
      <c r="B10" s="14" t="s">
        <v>178</v>
      </c>
      <c r="C10" s="14" t="s">
        <v>179</v>
      </c>
      <c r="D10" s="14" t="s">
        <v>180</v>
      </c>
      <c r="G10">
        <v>11141</v>
      </c>
      <c r="H10">
        <v>93.1</v>
      </c>
      <c r="I10">
        <v>6.9</v>
      </c>
      <c r="L10" s="22" t="s">
        <v>241</v>
      </c>
      <c r="M10" s="23">
        <v>49</v>
      </c>
      <c r="N10" s="25">
        <f t="shared" si="0"/>
        <v>43.75</v>
      </c>
      <c r="O10" s="23">
        <f t="shared" si="1"/>
        <v>0.4375</v>
      </c>
    </row>
    <row r="11" spans="1:15" ht="43.15" customHeight="1" x14ac:dyDescent="0.25">
      <c r="A11" s="17" t="s">
        <v>181</v>
      </c>
      <c r="B11" s="14"/>
      <c r="C11" s="14"/>
      <c r="D11" s="14"/>
      <c r="G11">
        <v>11142</v>
      </c>
      <c r="H11">
        <v>92.2</v>
      </c>
      <c r="I11">
        <v>7.8</v>
      </c>
      <c r="L11" s="22" t="s">
        <v>242</v>
      </c>
      <c r="M11" s="23">
        <v>59</v>
      </c>
      <c r="N11" s="25">
        <f t="shared" si="0"/>
        <v>52.678571428571431</v>
      </c>
      <c r="O11" s="23">
        <f t="shared" si="1"/>
        <v>0.5267857142857143</v>
      </c>
    </row>
    <row r="12" spans="1:15" ht="43.15" customHeight="1" x14ac:dyDescent="0.25">
      <c r="A12" s="18" t="s">
        <v>182</v>
      </c>
      <c r="B12" s="14" t="s">
        <v>178</v>
      </c>
      <c r="C12" s="14" t="s">
        <v>183</v>
      </c>
      <c r="D12" s="14" t="s">
        <v>184</v>
      </c>
      <c r="G12">
        <v>11151</v>
      </c>
      <c r="H12">
        <v>98</v>
      </c>
      <c r="I12">
        <v>2</v>
      </c>
      <c r="L12" s="22" t="s">
        <v>243</v>
      </c>
      <c r="M12" s="23">
        <v>78</v>
      </c>
      <c r="N12" s="25">
        <f t="shared" si="0"/>
        <v>69.642857142857139</v>
      </c>
      <c r="O12" s="23">
        <f t="shared" si="1"/>
        <v>0.6964285714285714</v>
      </c>
    </row>
    <row r="13" spans="1:15" ht="30" x14ac:dyDescent="0.25">
      <c r="A13" s="18" t="s">
        <v>185</v>
      </c>
      <c r="B13" s="14" t="s">
        <v>174</v>
      </c>
      <c r="C13" s="14" t="s">
        <v>186</v>
      </c>
      <c r="D13" s="14" t="s">
        <v>187</v>
      </c>
      <c r="G13">
        <v>11152</v>
      </c>
      <c r="H13">
        <v>95.1</v>
      </c>
      <c r="I13">
        <v>4.9000000000000004</v>
      </c>
      <c r="L13" s="22" t="s">
        <v>244</v>
      </c>
      <c r="M13" s="23">
        <v>81</v>
      </c>
      <c r="N13" s="25">
        <f t="shared" si="0"/>
        <v>72.321428571428569</v>
      </c>
      <c r="O13" s="23">
        <f t="shared" si="1"/>
        <v>0.7232142857142857</v>
      </c>
    </row>
    <row r="14" spans="1:15" ht="28.9" customHeight="1" x14ac:dyDescent="0.25">
      <c r="A14" s="17" t="s">
        <v>188</v>
      </c>
      <c r="B14" s="14"/>
      <c r="C14" s="14"/>
      <c r="D14" s="14"/>
      <c r="G14">
        <v>11161</v>
      </c>
      <c r="H14">
        <v>95.2</v>
      </c>
      <c r="I14">
        <v>4.8</v>
      </c>
      <c r="L14" s="22" t="s">
        <v>245</v>
      </c>
      <c r="M14" s="23">
        <v>88</v>
      </c>
      <c r="N14" s="25">
        <f t="shared" si="0"/>
        <v>78.571428571428569</v>
      </c>
      <c r="O14" s="23">
        <f t="shared" si="1"/>
        <v>0.7857142857142857</v>
      </c>
    </row>
    <row r="15" spans="1:15" ht="28.9" customHeight="1" x14ac:dyDescent="0.25">
      <c r="A15" s="18" t="s">
        <v>189</v>
      </c>
      <c r="B15" s="14" t="s">
        <v>190</v>
      </c>
      <c r="C15" s="14" t="s">
        <v>191</v>
      </c>
      <c r="D15" s="14" t="s">
        <v>192</v>
      </c>
      <c r="G15">
        <v>11162</v>
      </c>
      <c r="H15">
        <v>93.1</v>
      </c>
      <c r="I15">
        <v>6.9</v>
      </c>
      <c r="L15" s="22" t="s">
        <v>246</v>
      </c>
      <c r="M15" s="23">
        <v>93</v>
      </c>
      <c r="N15" s="25">
        <f t="shared" si="0"/>
        <v>83.035714285714292</v>
      </c>
      <c r="O15" s="23">
        <f t="shared" si="1"/>
        <v>0.8303571428571429</v>
      </c>
    </row>
    <row r="16" spans="1:15" ht="30" x14ac:dyDescent="0.25">
      <c r="A16" s="18" t="s">
        <v>193</v>
      </c>
      <c r="B16" s="14" t="s">
        <v>194</v>
      </c>
      <c r="C16" s="14" t="s">
        <v>195</v>
      </c>
      <c r="D16" s="14" t="s">
        <v>196</v>
      </c>
      <c r="G16">
        <v>11171</v>
      </c>
      <c r="H16">
        <v>90.3</v>
      </c>
      <c r="I16">
        <v>9.6999999999999993</v>
      </c>
      <c r="L16" s="22" t="s">
        <v>247</v>
      </c>
      <c r="M16" s="23">
        <v>99</v>
      </c>
      <c r="N16" s="25">
        <f t="shared" si="0"/>
        <v>88.392857142857139</v>
      </c>
      <c r="O16" s="23">
        <f t="shared" si="1"/>
        <v>0.8839285714285714</v>
      </c>
    </row>
    <row r="17" spans="1:15" ht="30" x14ac:dyDescent="0.25">
      <c r="A17" s="18" t="s">
        <v>197</v>
      </c>
      <c r="B17" s="14" t="s">
        <v>198</v>
      </c>
      <c r="C17" s="14" t="s">
        <v>199</v>
      </c>
      <c r="D17" s="14" t="s">
        <v>200</v>
      </c>
      <c r="G17">
        <v>11172</v>
      </c>
      <c r="H17">
        <v>87.5</v>
      </c>
      <c r="I17">
        <v>12.5</v>
      </c>
      <c r="L17" s="22" t="s">
        <v>248</v>
      </c>
      <c r="M17" s="23">
        <v>102</v>
      </c>
      <c r="N17" s="25">
        <f t="shared" si="0"/>
        <v>91.071428571428569</v>
      </c>
      <c r="O17" s="23">
        <f t="shared" si="1"/>
        <v>0.9107142857142857</v>
      </c>
    </row>
    <row r="18" spans="1:15" ht="30" x14ac:dyDescent="0.25">
      <c r="A18" s="18" t="s">
        <v>201</v>
      </c>
      <c r="B18" s="14" t="s">
        <v>202</v>
      </c>
      <c r="C18" s="14" t="s">
        <v>203</v>
      </c>
      <c r="D18" s="14" t="s">
        <v>204</v>
      </c>
      <c r="G18">
        <v>11211</v>
      </c>
      <c r="H18">
        <v>88.7</v>
      </c>
      <c r="I18">
        <v>11.3</v>
      </c>
      <c r="L18" s="22" t="s">
        <v>249</v>
      </c>
      <c r="M18" s="23">
        <v>107</v>
      </c>
      <c r="N18" s="25">
        <f t="shared" si="0"/>
        <v>95.535714285714292</v>
      </c>
      <c r="O18" s="23">
        <f t="shared" si="1"/>
        <v>0.9553571428571429</v>
      </c>
    </row>
    <row r="19" spans="1:15" ht="30" x14ac:dyDescent="0.25">
      <c r="A19" s="18" t="s">
        <v>205</v>
      </c>
      <c r="B19" s="14" t="s">
        <v>206</v>
      </c>
      <c r="C19" s="14" t="s">
        <v>207</v>
      </c>
      <c r="D19" s="14" t="s">
        <v>208</v>
      </c>
      <c r="G19">
        <v>11212</v>
      </c>
      <c r="H19">
        <v>89.4</v>
      </c>
      <c r="I19">
        <v>10.6</v>
      </c>
      <c r="L19" s="22" t="s">
        <v>250</v>
      </c>
      <c r="M19" s="23">
        <v>109</v>
      </c>
      <c r="N19" s="25">
        <f t="shared" si="0"/>
        <v>97.321428571428569</v>
      </c>
      <c r="O19" s="23">
        <f t="shared" si="1"/>
        <v>0.9732142857142857</v>
      </c>
    </row>
    <row r="20" spans="1:15" ht="30" x14ac:dyDescent="0.25">
      <c r="A20" s="18" t="s">
        <v>209</v>
      </c>
      <c r="B20" s="14" t="s">
        <v>210</v>
      </c>
      <c r="C20" s="14" t="s">
        <v>211</v>
      </c>
      <c r="D20" s="14" t="s">
        <v>212</v>
      </c>
      <c r="G20">
        <v>11221</v>
      </c>
      <c r="H20">
        <v>89.2</v>
      </c>
      <c r="I20">
        <v>10.8</v>
      </c>
      <c r="L20" s="22" t="s">
        <v>251</v>
      </c>
      <c r="M20" s="23">
        <v>111</v>
      </c>
      <c r="N20" s="25">
        <f t="shared" si="0"/>
        <v>99.107142857142861</v>
      </c>
      <c r="O20" s="23">
        <f t="shared" si="1"/>
        <v>0.9910714285714286</v>
      </c>
    </row>
    <row r="21" spans="1:15" ht="30" x14ac:dyDescent="0.25">
      <c r="A21" s="18" t="s">
        <v>213</v>
      </c>
      <c r="B21" s="14" t="s">
        <v>214</v>
      </c>
      <c r="C21" s="14" t="s">
        <v>215</v>
      </c>
      <c r="D21" s="14" t="s">
        <v>216</v>
      </c>
      <c r="G21">
        <v>11222</v>
      </c>
      <c r="H21">
        <v>89.5</v>
      </c>
      <c r="I21">
        <v>10.5</v>
      </c>
      <c r="L21" s="22" t="s">
        <v>252</v>
      </c>
      <c r="M21" s="23">
        <v>112</v>
      </c>
      <c r="N21" s="25">
        <f t="shared" si="0"/>
        <v>100</v>
      </c>
      <c r="O21" s="24">
        <f t="shared" si="1"/>
        <v>1</v>
      </c>
    </row>
    <row r="22" spans="1:15" x14ac:dyDescent="0.25">
      <c r="A22" s="17" t="s">
        <v>217</v>
      </c>
      <c r="B22" s="14"/>
      <c r="C22" s="14"/>
      <c r="D22" s="14"/>
      <c r="G22">
        <v>11231</v>
      </c>
      <c r="H22">
        <v>90.8</v>
      </c>
      <c r="I22">
        <v>9.1999999999999993</v>
      </c>
    </row>
    <row r="23" spans="1:15" ht="30" x14ac:dyDescent="0.25">
      <c r="A23" s="18" t="s">
        <v>218</v>
      </c>
      <c r="B23" s="14" t="s">
        <v>219</v>
      </c>
      <c r="C23" s="14" t="s">
        <v>220</v>
      </c>
      <c r="D23" s="14" t="s">
        <v>221</v>
      </c>
      <c r="G23">
        <v>11232</v>
      </c>
      <c r="H23">
        <v>88.4</v>
      </c>
      <c r="I23">
        <v>11.6</v>
      </c>
    </row>
    <row r="24" spans="1:15" ht="30" x14ac:dyDescent="0.25">
      <c r="A24" s="18" t="s">
        <v>222</v>
      </c>
      <c r="B24" s="14" t="s">
        <v>223</v>
      </c>
      <c r="C24" s="14" t="s">
        <v>224</v>
      </c>
      <c r="D24" s="14" t="s">
        <v>225</v>
      </c>
      <c r="G24">
        <v>11241</v>
      </c>
      <c r="H24">
        <v>94.3</v>
      </c>
      <c r="I24">
        <v>5.7</v>
      </c>
    </row>
    <row r="25" spans="1:15" ht="17.25" x14ac:dyDescent="0.25">
      <c r="A25" s="35" t="s">
        <v>229</v>
      </c>
      <c r="B25" s="35"/>
      <c r="C25" s="35"/>
      <c r="D25" s="35"/>
      <c r="G25">
        <v>11242</v>
      </c>
      <c r="H25">
        <v>92.6</v>
      </c>
      <c r="I25">
        <v>7.4</v>
      </c>
    </row>
    <row r="26" spans="1:15" x14ac:dyDescent="0.25">
      <c r="G26">
        <v>11251</v>
      </c>
      <c r="H26">
        <v>94</v>
      </c>
      <c r="I26">
        <v>6</v>
      </c>
    </row>
    <row r="27" spans="1:15" x14ac:dyDescent="0.25">
      <c r="G27">
        <v>11252</v>
      </c>
      <c r="H27">
        <v>93.9</v>
      </c>
      <c r="I27">
        <v>6.1</v>
      </c>
    </row>
    <row r="28" spans="1:15" x14ac:dyDescent="0.25">
      <c r="G28">
        <v>11261</v>
      </c>
      <c r="H28">
        <v>94.7</v>
      </c>
      <c r="I28">
        <v>5.3</v>
      </c>
    </row>
    <row r="29" spans="1:15" x14ac:dyDescent="0.25">
      <c r="G29">
        <v>11262</v>
      </c>
      <c r="H29">
        <v>89.2</v>
      </c>
      <c r="I29">
        <v>10.8</v>
      </c>
    </row>
    <row r="30" spans="1:15" x14ac:dyDescent="0.25">
      <c r="G30">
        <v>11271</v>
      </c>
      <c r="H30">
        <v>76.900000000000006</v>
      </c>
      <c r="I30">
        <v>23.1</v>
      </c>
    </row>
    <row r="31" spans="1:15" x14ac:dyDescent="0.25">
      <c r="G31">
        <v>11272</v>
      </c>
      <c r="H31">
        <v>83.6</v>
      </c>
      <c r="I31">
        <v>16.399999999999999</v>
      </c>
    </row>
    <row r="32" spans="1:15" x14ac:dyDescent="0.25">
      <c r="G32">
        <v>12111</v>
      </c>
      <c r="H32">
        <v>88.2</v>
      </c>
      <c r="I32">
        <v>11.8</v>
      </c>
    </row>
    <row r="33" spans="7:9" x14ac:dyDescent="0.25">
      <c r="G33">
        <v>12112</v>
      </c>
      <c r="H33">
        <v>93.8</v>
      </c>
      <c r="I33">
        <v>6.2</v>
      </c>
    </row>
    <row r="34" spans="7:9" x14ac:dyDescent="0.25">
      <c r="G34">
        <v>12121</v>
      </c>
      <c r="H34">
        <v>97.4</v>
      </c>
      <c r="I34">
        <v>2.6</v>
      </c>
    </row>
    <row r="35" spans="7:9" x14ac:dyDescent="0.25">
      <c r="G35">
        <v>12122</v>
      </c>
      <c r="H35">
        <v>90.6</v>
      </c>
      <c r="I35">
        <v>9.4</v>
      </c>
    </row>
    <row r="36" spans="7:9" x14ac:dyDescent="0.25">
      <c r="G36">
        <v>12131</v>
      </c>
      <c r="H36">
        <v>93.5</v>
      </c>
      <c r="I36">
        <v>6.5</v>
      </c>
    </row>
    <row r="37" spans="7:9" x14ac:dyDescent="0.25">
      <c r="G37">
        <v>12132</v>
      </c>
      <c r="H37">
        <v>88.5</v>
      </c>
      <c r="I37">
        <v>11.5</v>
      </c>
    </row>
    <row r="38" spans="7:9" x14ac:dyDescent="0.25">
      <c r="G38">
        <v>12141</v>
      </c>
      <c r="H38">
        <v>92.3</v>
      </c>
      <c r="I38">
        <v>7.7</v>
      </c>
    </row>
    <row r="39" spans="7:9" x14ac:dyDescent="0.25">
      <c r="G39">
        <v>12142</v>
      </c>
      <c r="H39">
        <v>90</v>
      </c>
      <c r="I39">
        <v>10</v>
      </c>
    </row>
    <row r="40" spans="7:9" x14ac:dyDescent="0.25">
      <c r="G40">
        <v>12151</v>
      </c>
      <c r="H40">
        <v>96</v>
      </c>
      <c r="I40">
        <v>4</v>
      </c>
    </row>
    <row r="41" spans="7:9" x14ac:dyDescent="0.25">
      <c r="G41">
        <v>12152</v>
      </c>
      <c r="H41">
        <v>92.6</v>
      </c>
      <c r="I41">
        <v>7.4</v>
      </c>
    </row>
    <row r="42" spans="7:9" x14ac:dyDescent="0.25">
      <c r="G42">
        <v>12161</v>
      </c>
      <c r="H42">
        <v>95.3</v>
      </c>
      <c r="I42">
        <v>4.7</v>
      </c>
    </row>
    <row r="43" spans="7:9" x14ac:dyDescent="0.25">
      <c r="G43">
        <v>12162</v>
      </c>
      <c r="H43">
        <v>86.3</v>
      </c>
      <c r="I43">
        <v>13.7</v>
      </c>
    </row>
    <row r="44" spans="7:9" x14ac:dyDescent="0.25">
      <c r="G44">
        <v>12171</v>
      </c>
      <c r="H44">
        <v>91.8</v>
      </c>
      <c r="I44">
        <v>8.1999999999999993</v>
      </c>
    </row>
    <row r="45" spans="7:9" x14ac:dyDescent="0.25">
      <c r="G45">
        <v>12172</v>
      </c>
      <c r="H45">
        <v>83.7</v>
      </c>
      <c r="I45">
        <v>16.3</v>
      </c>
    </row>
    <row r="46" spans="7:9" x14ac:dyDescent="0.25">
      <c r="G46">
        <v>12211</v>
      </c>
      <c r="H46">
        <v>91.3</v>
      </c>
      <c r="I46">
        <v>8.6999999999999993</v>
      </c>
    </row>
    <row r="47" spans="7:9" x14ac:dyDescent="0.25">
      <c r="G47">
        <v>12212</v>
      </c>
      <c r="H47">
        <v>84.5</v>
      </c>
      <c r="I47">
        <v>15.5</v>
      </c>
    </row>
    <row r="48" spans="7:9" x14ac:dyDescent="0.25">
      <c r="G48">
        <v>12221</v>
      </c>
      <c r="H48">
        <v>90.6</v>
      </c>
      <c r="I48">
        <v>9.4</v>
      </c>
    </row>
    <row r="49" spans="7:9" x14ac:dyDescent="0.25">
      <c r="G49">
        <v>12222</v>
      </c>
      <c r="H49">
        <v>88.9</v>
      </c>
      <c r="I49">
        <v>11.1</v>
      </c>
    </row>
    <row r="50" spans="7:9" x14ac:dyDescent="0.25">
      <c r="G50">
        <v>12231</v>
      </c>
      <c r="H50">
        <v>86.1</v>
      </c>
      <c r="I50">
        <v>13.9</v>
      </c>
    </row>
    <row r="51" spans="7:9" x14ac:dyDescent="0.25">
      <c r="G51">
        <v>12232</v>
      </c>
      <c r="H51">
        <v>86.9</v>
      </c>
      <c r="I51">
        <v>13.1</v>
      </c>
    </row>
    <row r="52" spans="7:9" x14ac:dyDescent="0.25">
      <c r="G52">
        <v>12241</v>
      </c>
      <c r="H52">
        <v>91.3</v>
      </c>
      <c r="I52">
        <v>8.6999999999999993</v>
      </c>
    </row>
    <row r="53" spans="7:9" x14ac:dyDescent="0.25">
      <c r="G53">
        <v>12242</v>
      </c>
      <c r="H53">
        <v>88</v>
      </c>
      <c r="I53">
        <v>12</v>
      </c>
    </row>
    <row r="54" spans="7:9" x14ac:dyDescent="0.25">
      <c r="G54">
        <v>12251</v>
      </c>
      <c r="H54">
        <v>95.5</v>
      </c>
      <c r="I54">
        <v>4.5</v>
      </c>
    </row>
    <row r="55" spans="7:9" x14ac:dyDescent="0.25">
      <c r="G55">
        <v>12252</v>
      </c>
      <c r="H55">
        <v>89.7</v>
      </c>
      <c r="I55">
        <v>10.3</v>
      </c>
    </row>
    <row r="56" spans="7:9" x14ac:dyDescent="0.25">
      <c r="G56">
        <v>12261</v>
      </c>
      <c r="H56">
        <v>85.4</v>
      </c>
      <c r="I56">
        <v>14.6</v>
      </c>
    </row>
    <row r="57" spans="7:9" x14ac:dyDescent="0.25">
      <c r="G57">
        <v>12262</v>
      </c>
      <c r="H57">
        <v>87.4</v>
      </c>
      <c r="I57">
        <v>12.6</v>
      </c>
    </row>
    <row r="58" spans="7:9" x14ac:dyDescent="0.25">
      <c r="G58">
        <v>12271</v>
      </c>
      <c r="H58">
        <v>87.4</v>
      </c>
      <c r="I58">
        <v>12.6</v>
      </c>
    </row>
    <row r="59" spans="7:9" x14ac:dyDescent="0.25">
      <c r="G59">
        <v>12272</v>
      </c>
      <c r="H59">
        <v>84.8</v>
      </c>
      <c r="I59">
        <v>15.2</v>
      </c>
    </row>
    <row r="60" spans="7:9" x14ac:dyDescent="0.25">
      <c r="G60">
        <v>21111</v>
      </c>
      <c r="H60">
        <v>96.8</v>
      </c>
      <c r="I60">
        <v>3.2</v>
      </c>
    </row>
    <row r="61" spans="7:9" x14ac:dyDescent="0.25">
      <c r="G61">
        <v>21112</v>
      </c>
      <c r="H61">
        <v>90.3</v>
      </c>
      <c r="I61">
        <v>9.6999999999999993</v>
      </c>
    </row>
    <row r="62" spans="7:9" x14ac:dyDescent="0.25">
      <c r="G62">
        <v>21121</v>
      </c>
      <c r="H62">
        <v>91.3</v>
      </c>
      <c r="I62">
        <v>8.6999999999999993</v>
      </c>
    </row>
    <row r="63" spans="7:9" x14ac:dyDescent="0.25">
      <c r="G63">
        <v>21122</v>
      </c>
      <c r="H63">
        <v>90.2</v>
      </c>
      <c r="I63">
        <v>9.8000000000000007</v>
      </c>
    </row>
    <row r="64" spans="7:9" x14ac:dyDescent="0.25">
      <c r="G64">
        <v>21131</v>
      </c>
      <c r="H64">
        <v>94</v>
      </c>
      <c r="I64">
        <v>6</v>
      </c>
    </row>
    <row r="65" spans="7:9" x14ac:dyDescent="0.25">
      <c r="G65">
        <v>21132</v>
      </c>
      <c r="H65">
        <v>88.9</v>
      </c>
      <c r="I65">
        <v>11.1</v>
      </c>
    </row>
    <row r="66" spans="7:9" x14ac:dyDescent="0.25">
      <c r="G66">
        <v>21141</v>
      </c>
      <c r="H66">
        <v>93.2</v>
      </c>
      <c r="I66">
        <v>6.8</v>
      </c>
    </row>
    <row r="67" spans="7:9" x14ac:dyDescent="0.25">
      <c r="G67">
        <v>21142</v>
      </c>
      <c r="H67">
        <v>89.4</v>
      </c>
      <c r="I67">
        <v>10.6</v>
      </c>
    </row>
    <row r="68" spans="7:9" x14ac:dyDescent="0.25">
      <c r="G68">
        <v>21151</v>
      </c>
      <c r="H68">
        <v>97</v>
      </c>
      <c r="I68">
        <v>3</v>
      </c>
    </row>
    <row r="69" spans="7:9" x14ac:dyDescent="0.25">
      <c r="G69">
        <v>21152</v>
      </c>
      <c r="H69">
        <v>91.8</v>
      </c>
      <c r="I69">
        <v>8.1999999999999993</v>
      </c>
    </row>
    <row r="70" spans="7:9" x14ac:dyDescent="0.25">
      <c r="G70">
        <v>21161</v>
      </c>
      <c r="H70">
        <v>92.6</v>
      </c>
      <c r="I70">
        <v>7.4</v>
      </c>
    </row>
    <row r="71" spans="7:9" x14ac:dyDescent="0.25">
      <c r="G71">
        <v>21162</v>
      </c>
      <c r="H71">
        <v>88.4</v>
      </c>
      <c r="I71">
        <v>11.6</v>
      </c>
    </row>
    <row r="72" spans="7:9" x14ac:dyDescent="0.25">
      <c r="G72">
        <v>21171</v>
      </c>
      <c r="H72">
        <v>84.4</v>
      </c>
      <c r="I72">
        <v>15.6</v>
      </c>
    </row>
    <row r="73" spans="7:9" x14ac:dyDescent="0.25">
      <c r="G73">
        <v>21172</v>
      </c>
      <c r="H73">
        <v>84.4</v>
      </c>
      <c r="I73">
        <v>15.6</v>
      </c>
    </row>
    <row r="74" spans="7:9" x14ac:dyDescent="0.25">
      <c r="G74">
        <v>21211</v>
      </c>
      <c r="H74">
        <v>87.5</v>
      </c>
      <c r="I74">
        <v>12.5</v>
      </c>
    </row>
    <row r="75" spans="7:9" x14ac:dyDescent="0.25">
      <c r="G75">
        <v>21212</v>
      </c>
      <c r="H75">
        <v>88.3</v>
      </c>
      <c r="I75">
        <v>11.7</v>
      </c>
    </row>
    <row r="76" spans="7:9" x14ac:dyDescent="0.25">
      <c r="G76">
        <v>21221</v>
      </c>
      <c r="H76">
        <v>85.9</v>
      </c>
      <c r="I76">
        <v>14.1</v>
      </c>
    </row>
    <row r="77" spans="7:9" x14ac:dyDescent="0.25">
      <c r="G77">
        <v>21222</v>
      </c>
      <c r="H77">
        <v>84.3</v>
      </c>
      <c r="I77">
        <v>15.7</v>
      </c>
    </row>
    <row r="78" spans="7:9" x14ac:dyDescent="0.25">
      <c r="G78">
        <v>21231</v>
      </c>
      <c r="H78">
        <v>85.5</v>
      </c>
      <c r="I78">
        <v>14.5</v>
      </c>
    </row>
    <row r="79" spans="7:9" x14ac:dyDescent="0.25">
      <c r="G79">
        <v>21232</v>
      </c>
      <c r="H79">
        <v>79.2</v>
      </c>
      <c r="I79">
        <v>20.8</v>
      </c>
    </row>
    <row r="80" spans="7:9" x14ac:dyDescent="0.25">
      <c r="G80">
        <v>21241</v>
      </c>
      <c r="H80">
        <v>84.3</v>
      </c>
      <c r="I80">
        <v>15.7</v>
      </c>
    </row>
    <row r="81" spans="7:9" x14ac:dyDescent="0.25">
      <c r="G81">
        <v>21242</v>
      </c>
      <c r="H81">
        <v>89.9</v>
      </c>
      <c r="I81">
        <v>10.1</v>
      </c>
    </row>
    <row r="82" spans="7:9" x14ac:dyDescent="0.25">
      <c r="G82">
        <v>21251</v>
      </c>
      <c r="H82">
        <v>95.2</v>
      </c>
      <c r="I82">
        <v>4.8</v>
      </c>
    </row>
    <row r="83" spans="7:9" x14ac:dyDescent="0.25">
      <c r="G83">
        <v>21252</v>
      </c>
      <c r="H83">
        <v>86.3</v>
      </c>
      <c r="I83">
        <v>13.7</v>
      </c>
    </row>
    <row r="84" spans="7:9" x14ac:dyDescent="0.25">
      <c r="G84">
        <v>21261</v>
      </c>
      <c r="H84">
        <v>84.6</v>
      </c>
      <c r="I84">
        <v>15.4</v>
      </c>
    </row>
    <row r="85" spans="7:9" x14ac:dyDescent="0.25">
      <c r="G85">
        <v>21262</v>
      </c>
      <c r="H85">
        <v>82.6</v>
      </c>
      <c r="I85">
        <v>17.399999999999999</v>
      </c>
    </row>
    <row r="86" spans="7:9" x14ac:dyDescent="0.25">
      <c r="G86">
        <v>21271</v>
      </c>
      <c r="H86">
        <v>70.099999999999994</v>
      </c>
      <c r="I86">
        <v>29.9</v>
      </c>
    </row>
    <row r="87" spans="7:9" x14ac:dyDescent="0.25">
      <c r="G87">
        <v>21272</v>
      </c>
      <c r="H87">
        <v>75.8</v>
      </c>
      <c r="I87">
        <v>24.2</v>
      </c>
    </row>
    <row r="88" spans="7:9" x14ac:dyDescent="0.25">
      <c r="G88">
        <v>22111</v>
      </c>
      <c r="H88">
        <v>100</v>
      </c>
      <c r="I88">
        <v>0</v>
      </c>
    </row>
    <row r="89" spans="7:9" x14ac:dyDescent="0.25">
      <c r="G89">
        <v>22112</v>
      </c>
      <c r="H89">
        <v>88.9</v>
      </c>
      <c r="I89">
        <v>11.1</v>
      </c>
    </row>
    <row r="90" spans="7:9" x14ac:dyDescent="0.25">
      <c r="G90">
        <v>22121</v>
      </c>
      <c r="H90">
        <v>84.9</v>
      </c>
      <c r="I90">
        <v>15.1</v>
      </c>
    </row>
    <row r="91" spans="7:9" x14ac:dyDescent="0.25">
      <c r="G91">
        <v>22122</v>
      </c>
      <c r="H91">
        <v>80.400000000000006</v>
      </c>
      <c r="I91">
        <v>19.600000000000001</v>
      </c>
    </row>
    <row r="92" spans="7:9" x14ac:dyDescent="0.25">
      <c r="G92">
        <v>22131</v>
      </c>
      <c r="H92">
        <v>89.2</v>
      </c>
      <c r="I92">
        <v>10.8</v>
      </c>
    </row>
    <row r="93" spans="7:9" x14ac:dyDescent="0.25">
      <c r="G93">
        <v>22132</v>
      </c>
      <c r="H93">
        <v>77.400000000000006</v>
      </c>
      <c r="I93">
        <v>22.6</v>
      </c>
    </row>
    <row r="94" spans="7:9" x14ac:dyDescent="0.25">
      <c r="G94">
        <v>22141</v>
      </c>
      <c r="H94">
        <v>87</v>
      </c>
      <c r="I94">
        <v>13</v>
      </c>
    </row>
    <row r="95" spans="7:9" x14ac:dyDescent="0.25">
      <c r="G95">
        <v>22142</v>
      </c>
      <c r="H95">
        <v>82</v>
      </c>
      <c r="I95">
        <v>18</v>
      </c>
    </row>
    <row r="96" spans="7:9" x14ac:dyDescent="0.25">
      <c r="G96">
        <v>22151</v>
      </c>
      <c r="H96">
        <v>91.5</v>
      </c>
      <c r="I96">
        <v>8.5</v>
      </c>
    </row>
    <row r="97" spans="7:9" x14ac:dyDescent="0.25">
      <c r="G97">
        <v>22152</v>
      </c>
      <c r="H97">
        <v>81.599999999999994</v>
      </c>
      <c r="I97">
        <v>18.399999999999999</v>
      </c>
    </row>
    <row r="98" spans="7:9" x14ac:dyDescent="0.25">
      <c r="G98">
        <v>22161</v>
      </c>
      <c r="H98">
        <v>89.4</v>
      </c>
      <c r="I98">
        <v>10.6</v>
      </c>
    </row>
    <row r="99" spans="7:9" x14ac:dyDescent="0.25">
      <c r="G99">
        <v>22162</v>
      </c>
      <c r="H99">
        <v>77.099999999999994</v>
      </c>
      <c r="I99">
        <v>22.9</v>
      </c>
    </row>
    <row r="100" spans="7:9" x14ac:dyDescent="0.25">
      <c r="G100">
        <v>22171</v>
      </c>
      <c r="H100">
        <v>76</v>
      </c>
      <c r="I100">
        <v>24</v>
      </c>
    </row>
    <row r="101" spans="7:9" x14ac:dyDescent="0.25">
      <c r="G101">
        <v>22172</v>
      </c>
      <c r="H101">
        <v>67</v>
      </c>
      <c r="I101">
        <v>33</v>
      </c>
    </row>
    <row r="102" spans="7:9" x14ac:dyDescent="0.25">
      <c r="G102">
        <v>22211</v>
      </c>
      <c r="H102">
        <v>88.9</v>
      </c>
      <c r="I102">
        <v>11.1</v>
      </c>
    </row>
    <row r="103" spans="7:9" x14ac:dyDescent="0.25">
      <c r="G103">
        <v>22212</v>
      </c>
      <c r="H103">
        <v>77.3</v>
      </c>
      <c r="I103">
        <v>22.7</v>
      </c>
    </row>
    <row r="104" spans="7:9" x14ac:dyDescent="0.25">
      <c r="G104">
        <v>22221</v>
      </c>
      <c r="H104">
        <v>77.5</v>
      </c>
      <c r="I104">
        <v>22.5</v>
      </c>
    </row>
    <row r="105" spans="7:9" x14ac:dyDescent="0.25">
      <c r="G105">
        <v>22222</v>
      </c>
      <c r="H105">
        <v>77.2</v>
      </c>
      <c r="I105">
        <v>22.8</v>
      </c>
    </row>
    <row r="106" spans="7:9" x14ac:dyDescent="0.25">
      <c r="G106">
        <v>22231</v>
      </c>
      <c r="H106">
        <v>84.4</v>
      </c>
      <c r="I106">
        <v>15.6</v>
      </c>
    </row>
    <row r="107" spans="7:9" x14ac:dyDescent="0.25">
      <c r="G107">
        <v>22232</v>
      </c>
      <c r="H107">
        <v>72.099999999999994</v>
      </c>
      <c r="I107">
        <v>27.9</v>
      </c>
    </row>
    <row r="108" spans="7:9" x14ac:dyDescent="0.25">
      <c r="G108">
        <v>22241</v>
      </c>
      <c r="H108">
        <v>78.8</v>
      </c>
      <c r="I108">
        <v>21.2</v>
      </c>
    </row>
    <row r="109" spans="7:9" x14ac:dyDescent="0.25">
      <c r="G109">
        <v>22242</v>
      </c>
      <c r="H109">
        <v>69.900000000000006</v>
      </c>
      <c r="I109">
        <v>30.1</v>
      </c>
    </row>
    <row r="110" spans="7:9" x14ac:dyDescent="0.25">
      <c r="G110">
        <v>22251</v>
      </c>
      <c r="H110">
        <v>85.8</v>
      </c>
      <c r="I110">
        <v>14.2</v>
      </c>
    </row>
    <row r="111" spans="7:9" x14ac:dyDescent="0.25">
      <c r="G111">
        <v>22252</v>
      </c>
      <c r="H111">
        <v>79.5</v>
      </c>
      <c r="I111">
        <v>20.5</v>
      </c>
    </row>
    <row r="112" spans="7:9" x14ac:dyDescent="0.25">
      <c r="G112">
        <v>22261</v>
      </c>
      <c r="H112">
        <v>78</v>
      </c>
      <c r="I112">
        <v>22</v>
      </c>
    </row>
    <row r="113" spans="7:9" x14ac:dyDescent="0.25">
      <c r="G113">
        <v>22262</v>
      </c>
      <c r="H113">
        <v>67.5</v>
      </c>
      <c r="I113">
        <v>32.5</v>
      </c>
    </row>
    <row r="114" spans="7:9" x14ac:dyDescent="0.25">
      <c r="G114">
        <v>22271</v>
      </c>
      <c r="H114">
        <v>60</v>
      </c>
      <c r="I114">
        <v>40</v>
      </c>
    </row>
    <row r="115" spans="7:9" x14ac:dyDescent="0.25">
      <c r="G115">
        <v>22272</v>
      </c>
      <c r="H115">
        <v>64.2</v>
      </c>
      <c r="I115">
        <v>35.799999999999997</v>
      </c>
    </row>
  </sheetData>
  <mergeCells count="4">
    <mergeCell ref="A1:D1"/>
    <mergeCell ref="A2:D2"/>
    <mergeCell ref="A3:A4"/>
    <mergeCell ref="A25:D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4"/>
  <sheetViews>
    <sheetView tabSelected="1" zoomScale="70" zoomScaleNormal="70" workbookViewId="0">
      <selection activeCell="AA65" sqref="AA65"/>
    </sheetView>
  </sheetViews>
  <sheetFormatPr baseColWidth="10" defaultColWidth="8.85546875" defaultRowHeight="15" x14ac:dyDescent="0.25"/>
  <cols>
    <col min="1" max="1" width="16.28515625" style="40" customWidth="1"/>
    <col min="2" max="7" width="8.85546875" style="40"/>
    <col min="8" max="8" width="19.85546875" style="40" customWidth="1"/>
    <col min="9" max="14" width="8.85546875" style="40"/>
    <col min="15" max="15" width="23.5703125" style="40" customWidth="1"/>
    <col min="16" max="18" width="8.85546875" style="40"/>
    <col min="19" max="19" width="11.5703125" style="40" customWidth="1"/>
    <col min="20" max="20" width="21.28515625" style="40" customWidth="1"/>
    <col min="21" max="22" width="11.5703125" style="40" bestFit="1" customWidth="1"/>
    <col min="23" max="23" width="8.85546875" style="40"/>
    <col min="24" max="24" width="9" style="40" bestFit="1" customWidth="1"/>
    <col min="25" max="16384" width="8.85546875" style="40"/>
  </cols>
  <sheetData>
    <row r="1" spans="1:19" x14ac:dyDescent="0.25">
      <c r="A1" s="39" t="s">
        <v>18</v>
      </c>
    </row>
    <row r="2" spans="1:19" x14ac:dyDescent="0.25">
      <c r="A2" s="40" t="s">
        <v>19</v>
      </c>
    </row>
    <row r="3" spans="1:19" x14ac:dyDescent="0.25">
      <c r="A3" s="40" t="s">
        <v>20</v>
      </c>
    </row>
    <row r="4" spans="1:19" x14ac:dyDescent="0.25">
      <c r="A4" s="40" t="s">
        <v>21</v>
      </c>
    </row>
    <row r="5" spans="1:19" x14ac:dyDescent="0.25">
      <c r="A5" s="40" t="s">
        <v>22</v>
      </c>
    </row>
    <row r="6" spans="1:19" x14ac:dyDescent="0.25">
      <c r="A6" s="40" t="s">
        <v>23</v>
      </c>
    </row>
    <row r="8" spans="1:19" ht="15.75" thickBot="1" x14ac:dyDescent="0.3"/>
    <row r="9" spans="1:19" ht="15.75" thickTop="1" x14ac:dyDescent="0.25">
      <c r="A9" s="36" t="s">
        <v>0</v>
      </c>
      <c r="B9" s="36"/>
      <c r="C9" s="36"/>
      <c r="D9" s="36"/>
      <c r="H9" s="10"/>
      <c r="I9" s="36" t="s">
        <v>0</v>
      </c>
      <c r="J9" s="36"/>
      <c r="K9" s="36"/>
      <c r="L9" s="36"/>
      <c r="O9" s="10"/>
      <c r="P9" s="36" t="s">
        <v>0</v>
      </c>
      <c r="Q9" s="36"/>
      <c r="R9" s="36" t="s">
        <v>0</v>
      </c>
      <c r="S9" s="36"/>
    </row>
    <row r="10" spans="1:19" ht="30.75" thickBot="1" x14ac:dyDescent="0.3">
      <c r="A10" s="6" t="s">
        <v>1</v>
      </c>
      <c r="B10" s="7" t="s">
        <v>2</v>
      </c>
      <c r="C10" s="7" t="s">
        <v>3</v>
      </c>
      <c r="D10" s="7" t="s">
        <v>4</v>
      </c>
      <c r="E10" s="7" t="s">
        <v>5</v>
      </c>
      <c r="H10" s="6" t="s">
        <v>1</v>
      </c>
      <c r="I10" s="7" t="s">
        <v>2</v>
      </c>
      <c r="J10" s="7" t="s">
        <v>3</v>
      </c>
      <c r="K10" s="7" t="s">
        <v>4</v>
      </c>
      <c r="L10" s="7" t="s">
        <v>5</v>
      </c>
      <c r="O10" s="6" t="s">
        <v>1</v>
      </c>
      <c r="P10" s="7" t="s">
        <v>2</v>
      </c>
      <c r="Q10" s="7" t="s">
        <v>4</v>
      </c>
      <c r="R10" s="7" t="s">
        <v>2</v>
      </c>
      <c r="S10" s="7" t="s">
        <v>4</v>
      </c>
    </row>
    <row r="11" spans="1:19" ht="30" x14ac:dyDescent="0.25">
      <c r="A11" s="39" t="s">
        <v>6</v>
      </c>
      <c r="B11" s="41">
        <v>0.14000000000000001</v>
      </c>
      <c r="C11" s="41">
        <v>0.01</v>
      </c>
      <c r="D11" s="41" t="s">
        <v>15</v>
      </c>
      <c r="E11" s="8" t="s">
        <v>8</v>
      </c>
      <c r="H11" s="39" t="s">
        <v>6</v>
      </c>
      <c r="I11" s="41">
        <v>0.05</v>
      </c>
      <c r="J11" s="41">
        <v>0</v>
      </c>
      <c r="K11" s="41" t="s">
        <v>39</v>
      </c>
      <c r="L11" s="8" t="s">
        <v>8</v>
      </c>
      <c r="O11" s="39" t="s">
        <v>6</v>
      </c>
      <c r="P11" s="41" t="s">
        <v>89</v>
      </c>
      <c r="Q11" s="41" t="s">
        <v>7</v>
      </c>
      <c r="R11" s="41" t="s">
        <v>90</v>
      </c>
      <c r="S11" s="41" t="s">
        <v>24</v>
      </c>
    </row>
    <row r="12" spans="1:19" ht="30" x14ac:dyDescent="0.25">
      <c r="A12" s="37" t="s">
        <v>9</v>
      </c>
      <c r="B12" s="37"/>
      <c r="C12" s="37"/>
      <c r="D12" s="37"/>
      <c r="E12" s="37"/>
      <c r="H12" s="39" t="s">
        <v>25</v>
      </c>
      <c r="I12" s="41">
        <v>1.91</v>
      </c>
      <c r="J12" s="41">
        <v>0.12</v>
      </c>
      <c r="K12" s="41" t="s">
        <v>38</v>
      </c>
      <c r="L12" s="8" t="s">
        <v>8</v>
      </c>
      <c r="O12" s="39" t="s">
        <v>25</v>
      </c>
      <c r="P12" s="41"/>
      <c r="Q12" s="41"/>
      <c r="R12" s="41" t="s">
        <v>91</v>
      </c>
      <c r="S12" s="41" t="s">
        <v>26</v>
      </c>
    </row>
    <row r="13" spans="1:19" ht="27" customHeight="1" x14ac:dyDescent="0.25">
      <c r="A13" s="39" t="s">
        <v>16</v>
      </c>
      <c r="B13" s="42">
        <v>3.29</v>
      </c>
      <c r="C13" s="42"/>
      <c r="D13" s="42"/>
      <c r="E13" s="42"/>
      <c r="H13" s="39" t="s">
        <v>27</v>
      </c>
      <c r="I13" s="41">
        <v>1.47</v>
      </c>
      <c r="J13" s="41">
        <v>0.09</v>
      </c>
      <c r="K13" s="41" t="s">
        <v>40</v>
      </c>
      <c r="L13" s="8" t="s">
        <v>8</v>
      </c>
      <c r="O13" s="39" t="s">
        <v>27</v>
      </c>
      <c r="P13" s="41"/>
      <c r="Q13" s="41"/>
      <c r="R13" s="41" t="s">
        <v>92</v>
      </c>
      <c r="S13" s="41" t="s">
        <v>28</v>
      </c>
    </row>
    <row r="14" spans="1:19" ht="30" x14ac:dyDescent="0.25">
      <c r="A14" s="39" t="s">
        <v>258</v>
      </c>
      <c r="B14" s="42">
        <v>0.26</v>
      </c>
      <c r="C14" s="42"/>
      <c r="D14" s="42"/>
      <c r="E14" s="42"/>
      <c r="H14" s="39" t="s">
        <v>29</v>
      </c>
      <c r="I14" s="41">
        <v>1.61</v>
      </c>
      <c r="J14" s="41">
        <v>0.1</v>
      </c>
      <c r="K14" s="41" t="s">
        <v>41</v>
      </c>
      <c r="L14" s="8" t="s">
        <v>8</v>
      </c>
      <c r="O14" s="39" t="s">
        <v>29</v>
      </c>
      <c r="P14" s="41"/>
      <c r="Q14" s="41"/>
      <c r="R14" s="41" t="s">
        <v>93</v>
      </c>
      <c r="S14" s="41" t="s">
        <v>30</v>
      </c>
    </row>
    <row r="15" spans="1:19" ht="30" x14ac:dyDescent="0.25">
      <c r="A15" s="39" t="s">
        <v>11</v>
      </c>
      <c r="B15" s="42">
        <v>7.0000000000000007E-2</v>
      </c>
      <c r="C15" s="42"/>
      <c r="D15" s="42"/>
      <c r="E15" s="42"/>
      <c r="H15" s="39" t="s">
        <v>31</v>
      </c>
      <c r="I15" s="41">
        <v>1.35</v>
      </c>
      <c r="J15" s="41">
        <v>0.11</v>
      </c>
      <c r="K15" s="41" t="s">
        <v>42</v>
      </c>
      <c r="L15" s="8" t="s">
        <v>8</v>
      </c>
      <c r="O15" s="39" t="s">
        <v>31</v>
      </c>
      <c r="P15" s="41"/>
      <c r="Q15" s="41"/>
      <c r="R15" s="41" t="s">
        <v>94</v>
      </c>
      <c r="S15" s="41" t="s">
        <v>32</v>
      </c>
    </row>
    <row r="16" spans="1:19" ht="30.75" thickBot="1" x14ac:dyDescent="0.3">
      <c r="A16" s="39" t="s">
        <v>17</v>
      </c>
      <c r="B16" s="43">
        <v>48</v>
      </c>
      <c r="C16" s="43"/>
      <c r="D16" s="43"/>
      <c r="E16" s="43"/>
      <c r="H16" s="39" t="s">
        <v>33</v>
      </c>
      <c r="I16" s="41">
        <v>1.36</v>
      </c>
      <c r="J16" s="41">
        <v>0.11</v>
      </c>
      <c r="K16" s="41" t="s">
        <v>43</v>
      </c>
      <c r="L16" s="8" t="s">
        <v>8</v>
      </c>
      <c r="O16" s="39" t="s">
        <v>33</v>
      </c>
      <c r="P16" s="41"/>
      <c r="Q16" s="41"/>
      <c r="R16" s="41" t="s">
        <v>95</v>
      </c>
      <c r="S16" s="41" t="s">
        <v>34</v>
      </c>
    </row>
    <row r="17" spans="1:19" ht="28.9" customHeight="1" x14ac:dyDescent="0.25">
      <c r="A17" s="44" t="s">
        <v>12</v>
      </c>
      <c r="B17" s="45">
        <v>19503</v>
      </c>
      <c r="C17" s="45"/>
      <c r="D17" s="45"/>
      <c r="E17" s="45"/>
      <c r="H17" s="39" t="s">
        <v>35</v>
      </c>
      <c r="I17" s="41">
        <v>1.35</v>
      </c>
      <c r="J17" s="41">
        <v>0.09</v>
      </c>
      <c r="K17" s="41" t="s">
        <v>44</v>
      </c>
      <c r="L17" s="8" t="s">
        <v>8</v>
      </c>
      <c r="O17" s="39" t="s">
        <v>35</v>
      </c>
      <c r="P17" s="41"/>
      <c r="Q17" s="41"/>
      <c r="R17" s="41" t="s">
        <v>94</v>
      </c>
      <c r="S17" s="41" t="s">
        <v>36</v>
      </c>
    </row>
    <row r="18" spans="1:19" ht="34.5" x14ac:dyDescent="0.25">
      <c r="A18" s="39" t="s">
        <v>259</v>
      </c>
      <c r="B18" s="42" t="s">
        <v>14</v>
      </c>
      <c r="C18" s="42"/>
      <c r="D18" s="42"/>
      <c r="E18" s="42"/>
      <c r="H18" s="37" t="s">
        <v>9</v>
      </c>
      <c r="I18" s="37"/>
      <c r="J18" s="37"/>
      <c r="K18" s="37"/>
      <c r="L18" s="37"/>
      <c r="O18" s="37" t="s">
        <v>9</v>
      </c>
      <c r="P18" s="37"/>
      <c r="Q18" s="37"/>
      <c r="R18" s="37"/>
      <c r="S18" s="37"/>
    </row>
    <row r="19" spans="1:19" ht="17.25" x14ac:dyDescent="0.25">
      <c r="H19" s="39" t="s">
        <v>16</v>
      </c>
      <c r="I19" s="42">
        <v>3.29</v>
      </c>
      <c r="J19" s="42"/>
      <c r="K19" s="42"/>
      <c r="L19" s="42"/>
      <c r="O19" s="39" t="s">
        <v>16</v>
      </c>
      <c r="P19" s="42">
        <v>3.29</v>
      </c>
      <c r="Q19" s="42"/>
      <c r="R19" s="42">
        <v>3.29</v>
      </c>
      <c r="S19" s="42"/>
    </row>
    <row r="20" spans="1:19" ht="16.149999999999999" customHeight="1" x14ac:dyDescent="0.25">
      <c r="H20" s="39" t="s">
        <v>258</v>
      </c>
      <c r="I20" s="42">
        <v>0.02</v>
      </c>
      <c r="J20" s="42"/>
      <c r="K20" s="42"/>
      <c r="L20" s="42"/>
      <c r="O20" s="39" t="s">
        <v>96</v>
      </c>
      <c r="P20" s="42" t="s">
        <v>97</v>
      </c>
      <c r="Q20" s="42"/>
      <c r="R20" s="42" t="s">
        <v>98</v>
      </c>
      <c r="S20" s="42"/>
    </row>
    <row r="21" spans="1:19" x14ac:dyDescent="0.25">
      <c r="H21" s="39" t="s">
        <v>11</v>
      </c>
      <c r="I21" s="42">
        <v>0.01</v>
      </c>
      <c r="J21" s="42"/>
      <c r="K21" s="42"/>
      <c r="L21" s="42"/>
      <c r="O21" s="39" t="s">
        <v>11</v>
      </c>
      <c r="P21" s="42">
        <v>7.0000000000000007E-2</v>
      </c>
      <c r="Q21" s="42"/>
      <c r="R21" s="42">
        <v>0.01</v>
      </c>
      <c r="S21" s="42"/>
    </row>
    <row r="22" spans="1:19" ht="16.149999999999999" customHeight="1" thickBot="1" x14ac:dyDescent="0.3">
      <c r="H22" s="39" t="s">
        <v>17</v>
      </c>
      <c r="I22" s="43">
        <v>48</v>
      </c>
      <c r="J22" s="43"/>
      <c r="K22" s="43"/>
      <c r="L22" s="43"/>
      <c r="O22" s="39" t="s">
        <v>87</v>
      </c>
      <c r="P22" s="43" t="s">
        <v>99</v>
      </c>
      <c r="Q22" s="43"/>
      <c r="R22" s="43" t="s">
        <v>99</v>
      </c>
      <c r="S22" s="43"/>
    </row>
    <row r="23" spans="1:19" x14ac:dyDescent="0.25">
      <c r="H23" s="44" t="s">
        <v>12</v>
      </c>
      <c r="I23" s="45">
        <v>19503</v>
      </c>
      <c r="J23" s="45"/>
      <c r="K23" s="45"/>
      <c r="L23" s="45"/>
      <c r="O23" s="44" t="s">
        <v>12</v>
      </c>
      <c r="P23" s="45">
        <v>19503</v>
      </c>
      <c r="Q23" s="45"/>
      <c r="R23" s="45">
        <v>19503</v>
      </c>
      <c r="S23" s="45"/>
    </row>
    <row r="24" spans="1:19" ht="35.25" thickBot="1" x14ac:dyDescent="0.3">
      <c r="H24" s="39" t="s">
        <v>259</v>
      </c>
      <c r="I24" s="42" t="s">
        <v>37</v>
      </c>
      <c r="J24" s="42"/>
      <c r="K24" s="42"/>
      <c r="L24" s="42"/>
      <c r="O24" s="39" t="s">
        <v>259</v>
      </c>
      <c r="P24" s="46" t="s">
        <v>14</v>
      </c>
      <c r="Q24" s="46"/>
      <c r="R24" s="46" t="s">
        <v>37</v>
      </c>
      <c r="S24" s="46"/>
    </row>
    <row r="25" spans="1:19" ht="15.75" thickTop="1" x14ac:dyDescent="0.25">
      <c r="O25" s="38" t="s">
        <v>88</v>
      </c>
      <c r="P25" s="38"/>
      <c r="Q25" s="38"/>
      <c r="R25" s="38"/>
      <c r="S25" s="38"/>
    </row>
    <row r="26" spans="1:19" x14ac:dyDescent="0.25">
      <c r="H26" s="39" t="s">
        <v>45</v>
      </c>
      <c r="I26" s="40">
        <v>6.7115580000000003E-3</v>
      </c>
      <c r="J26" s="40">
        <v>0.67115579999999997</v>
      </c>
    </row>
    <row r="27" spans="1:19" x14ac:dyDescent="0.25">
      <c r="H27" s="39" t="s">
        <v>46</v>
      </c>
      <c r="I27" s="40">
        <v>91.565610000000007</v>
      </c>
    </row>
    <row r="29" spans="1:19" x14ac:dyDescent="0.25">
      <c r="A29" s="47" t="s">
        <v>108</v>
      </c>
    </row>
    <row r="30" spans="1:19" x14ac:dyDescent="0.25">
      <c r="A30" s="47" t="s">
        <v>19</v>
      </c>
    </row>
    <row r="31" spans="1:19" x14ac:dyDescent="0.25">
      <c r="A31" s="47" t="s">
        <v>20</v>
      </c>
    </row>
    <row r="32" spans="1:19" x14ac:dyDescent="0.25">
      <c r="A32" s="47" t="s">
        <v>21</v>
      </c>
    </row>
    <row r="33" spans="1:19" x14ac:dyDescent="0.25">
      <c r="A33" s="47" t="s">
        <v>109</v>
      </c>
    </row>
    <row r="34" spans="1:19" x14ac:dyDescent="0.25">
      <c r="A34" s="47" t="s">
        <v>23</v>
      </c>
    </row>
    <row r="35" spans="1:19" ht="15.75" thickBot="1" x14ac:dyDescent="0.3"/>
    <row r="36" spans="1:19" ht="15.75" thickTop="1" x14ac:dyDescent="0.25">
      <c r="A36" s="10"/>
      <c r="B36" s="36" t="s">
        <v>0</v>
      </c>
      <c r="C36" s="36"/>
      <c r="D36" s="36"/>
      <c r="E36" s="36"/>
      <c r="H36" s="10"/>
      <c r="I36" s="36" t="s">
        <v>0</v>
      </c>
      <c r="J36" s="36"/>
      <c r="K36" s="36"/>
      <c r="L36" s="36"/>
      <c r="O36" s="10"/>
      <c r="P36" s="36" t="s">
        <v>0</v>
      </c>
      <c r="Q36" s="36"/>
      <c r="R36" s="36" t="s">
        <v>0</v>
      </c>
      <c r="S36" s="36"/>
    </row>
    <row r="37" spans="1:19" ht="30.75" thickBot="1" x14ac:dyDescent="0.3">
      <c r="A37" s="6" t="s">
        <v>1</v>
      </c>
      <c r="B37" s="7" t="s">
        <v>2</v>
      </c>
      <c r="C37" s="7" t="s">
        <v>3</v>
      </c>
      <c r="D37" s="7" t="s">
        <v>4</v>
      </c>
      <c r="E37" s="7" t="s">
        <v>5</v>
      </c>
      <c r="H37" s="6" t="s">
        <v>1</v>
      </c>
      <c r="I37" s="7" t="s">
        <v>2</v>
      </c>
      <c r="J37" s="7" t="s">
        <v>3</v>
      </c>
      <c r="K37" s="7" t="s">
        <v>4</v>
      </c>
      <c r="L37" s="7" t="s">
        <v>5</v>
      </c>
      <c r="O37" s="6" t="s">
        <v>1</v>
      </c>
      <c r="P37" s="7" t="s">
        <v>2</v>
      </c>
      <c r="Q37" s="7" t="s">
        <v>4</v>
      </c>
      <c r="R37" s="7" t="s">
        <v>2</v>
      </c>
      <c r="S37" s="7" t="s">
        <v>4</v>
      </c>
    </row>
    <row r="38" spans="1:19" ht="30" x14ac:dyDescent="0.25">
      <c r="A38" s="39" t="s">
        <v>6</v>
      </c>
      <c r="B38" s="41">
        <v>0.13</v>
      </c>
      <c r="C38" s="41">
        <v>0.01</v>
      </c>
      <c r="D38" s="41" t="s">
        <v>110</v>
      </c>
      <c r="E38" s="8" t="s">
        <v>8</v>
      </c>
      <c r="H38" s="39" t="s">
        <v>6</v>
      </c>
      <c r="I38" s="41">
        <v>0.03</v>
      </c>
      <c r="J38" s="41">
        <v>0</v>
      </c>
      <c r="K38" s="41" t="s">
        <v>112</v>
      </c>
      <c r="L38" s="8" t="s">
        <v>8</v>
      </c>
      <c r="O38" s="39" t="s">
        <v>6</v>
      </c>
      <c r="P38" s="41" t="s">
        <v>260</v>
      </c>
      <c r="Q38" s="41" t="s">
        <v>110</v>
      </c>
      <c r="R38" s="41" t="s">
        <v>261</v>
      </c>
      <c r="S38" s="41" t="s">
        <v>112</v>
      </c>
    </row>
    <row r="39" spans="1:19" ht="30" x14ac:dyDescent="0.25">
      <c r="A39" s="37" t="s">
        <v>9</v>
      </c>
      <c r="B39" s="37"/>
      <c r="C39" s="37"/>
      <c r="D39" s="37"/>
      <c r="E39" s="37"/>
      <c r="H39" s="39" t="s">
        <v>25</v>
      </c>
      <c r="I39" s="41">
        <v>1.93</v>
      </c>
      <c r="J39" s="41">
        <v>0.11</v>
      </c>
      <c r="K39" s="41" t="s">
        <v>113</v>
      </c>
      <c r="L39" s="8" t="s">
        <v>8</v>
      </c>
      <c r="O39" s="39" t="s">
        <v>25</v>
      </c>
      <c r="P39" s="41"/>
      <c r="Q39" s="41"/>
      <c r="R39" s="41" t="s">
        <v>262</v>
      </c>
      <c r="S39" s="41" t="s">
        <v>113</v>
      </c>
    </row>
    <row r="40" spans="1:19" ht="30" x14ac:dyDescent="0.25">
      <c r="A40" s="39" t="s">
        <v>16</v>
      </c>
      <c r="B40" s="42">
        <v>3.29</v>
      </c>
      <c r="C40" s="42"/>
      <c r="D40" s="42"/>
      <c r="E40" s="42"/>
      <c r="H40" s="39" t="s">
        <v>27</v>
      </c>
      <c r="I40" s="41">
        <v>1.53</v>
      </c>
      <c r="J40" s="41">
        <v>0.09</v>
      </c>
      <c r="K40" s="41" t="s">
        <v>114</v>
      </c>
      <c r="L40" s="8" t="s">
        <v>8</v>
      </c>
      <c r="O40" s="39" t="s">
        <v>27</v>
      </c>
      <c r="P40" s="41"/>
      <c r="Q40" s="41"/>
      <c r="R40" s="41" t="s">
        <v>263</v>
      </c>
      <c r="S40" s="41" t="s">
        <v>114</v>
      </c>
    </row>
    <row r="41" spans="1:19" ht="30" x14ac:dyDescent="0.25">
      <c r="A41" s="39" t="s">
        <v>258</v>
      </c>
      <c r="B41" s="42">
        <v>0.34</v>
      </c>
      <c r="C41" s="42"/>
      <c r="D41" s="42"/>
      <c r="E41" s="42"/>
      <c r="H41" s="39" t="s">
        <v>29</v>
      </c>
      <c r="I41" s="41">
        <v>1.56</v>
      </c>
      <c r="J41" s="41">
        <v>0.09</v>
      </c>
      <c r="K41" s="41" t="s">
        <v>115</v>
      </c>
      <c r="L41" s="8" t="s">
        <v>8</v>
      </c>
      <c r="O41" s="39" t="s">
        <v>29</v>
      </c>
      <c r="P41" s="41"/>
      <c r="Q41" s="41"/>
      <c r="R41" s="41" t="s">
        <v>264</v>
      </c>
      <c r="S41" s="41" t="s">
        <v>115</v>
      </c>
    </row>
    <row r="42" spans="1:19" ht="30" x14ac:dyDescent="0.25">
      <c r="A42" s="39" t="s">
        <v>11</v>
      </c>
      <c r="B42" s="42">
        <v>0.09</v>
      </c>
      <c r="C42" s="42"/>
      <c r="D42" s="42"/>
      <c r="E42" s="42"/>
      <c r="H42" s="39" t="s">
        <v>116</v>
      </c>
      <c r="I42" s="41">
        <v>1.25</v>
      </c>
      <c r="J42" s="41">
        <v>0.17</v>
      </c>
      <c r="K42" s="41" t="s">
        <v>117</v>
      </c>
      <c r="L42" s="41">
        <v>0.10299999999999999</v>
      </c>
      <c r="O42" s="39" t="s">
        <v>116</v>
      </c>
      <c r="P42" s="41"/>
      <c r="Q42" s="41"/>
      <c r="R42" s="41">
        <v>1.25</v>
      </c>
      <c r="S42" s="41" t="s">
        <v>117</v>
      </c>
    </row>
    <row r="43" spans="1:19" ht="30.75" thickBot="1" x14ac:dyDescent="0.3">
      <c r="A43" s="39" t="s">
        <v>17</v>
      </c>
      <c r="B43" s="43">
        <v>112</v>
      </c>
      <c r="C43" s="43"/>
      <c r="D43" s="43"/>
      <c r="E43" s="43"/>
      <c r="H43" s="39" t="s">
        <v>118</v>
      </c>
      <c r="I43" s="41">
        <v>1.44</v>
      </c>
      <c r="J43" s="41">
        <v>0.15</v>
      </c>
      <c r="K43" s="41" t="s">
        <v>119</v>
      </c>
      <c r="L43" s="8">
        <v>1E-3</v>
      </c>
      <c r="O43" s="39" t="s">
        <v>118</v>
      </c>
      <c r="P43" s="41"/>
      <c r="Q43" s="41"/>
      <c r="R43" s="41" t="s">
        <v>265</v>
      </c>
      <c r="S43" s="41" t="s">
        <v>119</v>
      </c>
    </row>
    <row r="44" spans="1:19" ht="30" x14ac:dyDescent="0.25">
      <c r="A44" s="44" t="s">
        <v>12</v>
      </c>
      <c r="B44" s="45">
        <v>19503</v>
      </c>
      <c r="C44" s="45"/>
      <c r="D44" s="45"/>
      <c r="E44" s="45"/>
      <c r="H44" s="39" t="s">
        <v>120</v>
      </c>
      <c r="I44" s="41">
        <v>1.69</v>
      </c>
      <c r="J44" s="41">
        <v>0.17</v>
      </c>
      <c r="K44" s="41" t="s">
        <v>121</v>
      </c>
      <c r="L44" s="8" t="s">
        <v>8</v>
      </c>
      <c r="O44" s="39" t="s">
        <v>120</v>
      </c>
      <c r="P44" s="41"/>
      <c r="Q44" s="41"/>
      <c r="R44" s="41" t="s">
        <v>266</v>
      </c>
      <c r="S44" s="41" t="s">
        <v>121</v>
      </c>
    </row>
    <row r="45" spans="1:19" ht="34.5" x14ac:dyDescent="0.25">
      <c r="A45" s="39" t="s">
        <v>259</v>
      </c>
      <c r="B45" s="42" t="s">
        <v>111</v>
      </c>
      <c r="C45" s="42"/>
      <c r="D45" s="42"/>
      <c r="E45" s="42"/>
      <c r="H45" s="39" t="s">
        <v>122</v>
      </c>
      <c r="I45" s="41">
        <v>1.42</v>
      </c>
      <c r="J45" s="41">
        <v>0.17</v>
      </c>
      <c r="K45" s="41" t="s">
        <v>123</v>
      </c>
      <c r="L45" s="8">
        <v>4.0000000000000001E-3</v>
      </c>
      <c r="O45" s="39" t="s">
        <v>122</v>
      </c>
      <c r="P45" s="41"/>
      <c r="Q45" s="41"/>
      <c r="R45" s="41" t="s">
        <v>267</v>
      </c>
      <c r="S45" s="41" t="s">
        <v>123</v>
      </c>
    </row>
    <row r="46" spans="1:19" ht="30" x14ac:dyDescent="0.25">
      <c r="A46" s="39" t="s">
        <v>45</v>
      </c>
      <c r="B46" s="40">
        <v>9.3483700000000003E-2</v>
      </c>
      <c r="C46" s="40">
        <f>B46*100</f>
        <v>9.348370000000001</v>
      </c>
      <c r="H46" s="39" t="s">
        <v>124</v>
      </c>
      <c r="I46" s="41">
        <v>1.66</v>
      </c>
      <c r="J46" s="41">
        <v>0.18</v>
      </c>
      <c r="K46" s="41" t="s">
        <v>125</v>
      </c>
      <c r="L46" s="8" t="s">
        <v>8</v>
      </c>
      <c r="O46" s="39" t="s">
        <v>124</v>
      </c>
      <c r="P46" s="41"/>
      <c r="Q46" s="41"/>
      <c r="R46" s="41" t="s">
        <v>268</v>
      </c>
      <c r="S46" s="41" t="s">
        <v>125</v>
      </c>
    </row>
    <row r="47" spans="1:19" ht="30" x14ac:dyDescent="0.25">
      <c r="H47" s="39" t="s">
        <v>126</v>
      </c>
      <c r="I47" s="41">
        <v>2.82</v>
      </c>
      <c r="J47" s="41">
        <v>0.28000000000000003</v>
      </c>
      <c r="K47" s="41" t="s">
        <v>127</v>
      </c>
      <c r="L47" s="8" t="s">
        <v>8</v>
      </c>
      <c r="O47" s="39" t="s">
        <v>126</v>
      </c>
      <c r="P47" s="41"/>
      <c r="Q47" s="41"/>
      <c r="R47" s="41" t="s">
        <v>269</v>
      </c>
      <c r="S47" s="41" t="s">
        <v>127</v>
      </c>
    </row>
    <row r="48" spans="1:19" ht="30" x14ac:dyDescent="0.25">
      <c r="H48" s="39" t="s">
        <v>35</v>
      </c>
      <c r="I48" s="41">
        <v>1.36</v>
      </c>
      <c r="J48" s="41">
        <v>0.08</v>
      </c>
      <c r="K48" s="41" t="s">
        <v>128</v>
      </c>
      <c r="L48" s="8" t="s">
        <v>8</v>
      </c>
      <c r="O48" s="39" t="s">
        <v>35</v>
      </c>
      <c r="P48" s="41"/>
      <c r="Q48" s="41"/>
      <c r="R48" s="41" t="s">
        <v>95</v>
      </c>
      <c r="S48" s="41" t="s">
        <v>128</v>
      </c>
    </row>
    <row r="49" spans="1:19" x14ac:dyDescent="0.25">
      <c r="H49" s="37" t="s">
        <v>9</v>
      </c>
      <c r="I49" s="37"/>
      <c r="J49" s="37"/>
      <c r="K49" s="37"/>
      <c r="L49" s="37"/>
      <c r="O49" s="37" t="s">
        <v>9</v>
      </c>
      <c r="P49" s="37"/>
      <c r="Q49" s="37"/>
      <c r="R49" s="37"/>
      <c r="S49" s="37"/>
    </row>
    <row r="50" spans="1:19" ht="17.25" x14ac:dyDescent="0.25">
      <c r="H50" s="39" t="s">
        <v>16</v>
      </c>
      <c r="I50" s="42">
        <v>3.29</v>
      </c>
      <c r="J50" s="42"/>
      <c r="K50" s="42"/>
      <c r="L50" s="42"/>
      <c r="O50" s="39" t="s">
        <v>16</v>
      </c>
      <c r="P50" s="42">
        <v>3.29</v>
      </c>
      <c r="Q50" s="42"/>
      <c r="R50" s="42">
        <v>3.29</v>
      </c>
      <c r="S50" s="42"/>
    </row>
    <row r="51" spans="1:19" ht="16.149999999999999" customHeight="1" x14ac:dyDescent="0.25">
      <c r="H51" s="39" t="s">
        <v>258</v>
      </c>
      <c r="I51" s="42">
        <v>0.03</v>
      </c>
      <c r="J51" s="42"/>
      <c r="K51" s="42"/>
      <c r="L51" s="42"/>
      <c r="O51" s="39" t="s">
        <v>96</v>
      </c>
      <c r="P51" s="42" t="s">
        <v>270</v>
      </c>
      <c r="Q51" s="42"/>
      <c r="R51" s="42" t="s">
        <v>271</v>
      </c>
      <c r="S51" s="42"/>
    </row>
    <row r="52" spans="1:19" x14ac:dyDescent="0.25">
      <c r="H52" s="39" t="s">
        <v>11</v>
      </c>
      <c r="I52" s="42">
        <v>0.01</v>
      </c>
      <c r="J52" s="42"/>
      <c r="K52" s="42"/>
      <c r="L52" s="42"/>
      <c r="O52" s="39" t="s">
        <v>11</v>
      </c>
      <c r="P52" s="42">
        <v>0.09</v>
      </c>
      <c r="Q52" s="42"/>
      <c r="R52" s="42">
        <v>0.01</v>
      </c>
      <c r="S52" s="42"/>
    </row>
    <row r="53" spans="1:19" ht="16.149999999999999" customHeight="1" thickBot="1" x14ac:dyDescent="0.3">
      <c r="H53" s="39" t="s">
        <v>17</v>
      </c>
      <c r="I53" s="43">
        <v>112</v>
      </c>
      <c r="J53" s="43"/>
      <c r="K53" s="43"/>
      <c r="L53" s="43"/>
      <c r="O53" s="39" t="s">
        <v>87</v>
      </c>
      <c r="P53" s="43" t="s">
        <v>272</v>
      </c>
      <c r="Q53" s="43"/>
      <c r="R53" s="43" t="s">
        <v>272</v>
      </c>
      <c r="S53" s="43"/>
    </row>
    <row r="54" spans="1:19" x14ac:dyDescent="0.25">
      <c r="H54" s="44" t="s">
        <v>12</v>
      </c>
      <c r="I54" s="45">
        <v>19503</v>
      </c>
      <c r="J54" s="45"/>
      <c r="K54" s="45"/>
      <c r="L54" s="45"/>
      <c r="O54" s="44" t="s">
        <v>12</v>
      </c>
      <c r="P54" s="45">
        <v>19503</v>
      </c>
      <c r="Q54" s="45"/>
      <c r="R54" s="45">
        <v>19503</v>
      </c>
      <c r="S54" s="45"/>
    </row>
    <row r="55" spans="1:19" ht="35.25" thickBot="1" x14ac:dyDescent="0.3">
      <c r="H55" s="39" t="s">
        <v>259</v>
      </c>
      <c r="I55" s="42" t="s">
        <v>129</v>
      </c>
      <c r="J55" s="42"/>
      <c r="K55" s="42"/>
      <c r="L55" s="42"/>
      <c r="O55" s="39" t="s">
        <v>259</v>
      </c>
      <c r="P55" s="46" t="s">
        <v>111</v>
      </c>
      <c r="Q55" s="46"/>
      <c r="R55" s="46" t="s">
        <v>129</v>
      </c>
      <c r="S55" s="46"/>
    </row>
    <row r="56" spans="1:19" ht="15.75" thickTop="1" x14ac:dyDescent="0.25">
      <c r="H56" s="39" t="s">
        <v>45</v>
      </c>
      <c r="I56" s="40">
        <v>8.3156770000000005E-3</v>
      </c>
      <c r="J56" s="40">
        <v>0.83156770000000002</v>
      </c>
      <c r="L56" s="48">
        <f>I56*100</f>
        <v>0.83156770000000002</v>
      </c>
      <c r="O56" s="38" t="s">
        <v>88</v>
      </c>
      <c r="P56" s="38"/>
      <c r="Q56" s="38"/>
      <c r="R56" s="38"/>
      <c r="S56" s="38"/>
    </row>
    <row r="57" spans="1:19" x14ac:dyDescent="0.25">
      <c r="H57" s="39" t="s">
        <v>46</v>
      </c>
      <c r="I57" s="40">
        <v>91.823449999999994</v>
      </c>
    </row>
    <row r="59" spans="1:19" x14ac:dyDescent="0.25">
      <c r="A59" s="47" t="s">
        <v>257</v>
      </c>
    </row>
    <row r="60" spans="1:19" x14ac:dyDescent="0.25">
      <c r="A60" s="47" t="s">
        <v>19</v>
      </c>
    </row>
    <row r="61" spans="1:19" x14ac:dyDescent="0.25">
      <c r="A61" s="47" t="s">
        <v>20</v>
      </c>
    </row>
    <row r="62" spans="1:19" x14ac:dyDescent="0.25">
      <c r="A62" s="47" t="s">
        <v>21</v>
      </c>
    </row>
    <row r="63" spans="1:19" x14ac:dyDescent="0.25">
      <c r="A63" s="47" t="s">
        <v>109</v>
      </c>
    </row>
    <row r="65" spans="1:24" ht="120" x14ac:dyDescent="0.25">
      <c r="A65" s="51" t="s">
        <v>304</v>
      </c>
      <c r="H65" s="51" t="s">
        <v>301</v>
      </c>
      <c r="T65" s="51" t="s">
        <v>300</v>
      </c>
    </row>
    <row r="66" spans="1:24" ht="15.75" thickBot="1" x14ac:dyDescent="0.3">
      <c r="H66" s="40" t="s">
        <v>302</v>
      </c>
      <c r="T66" s="40" t="s">
        <v>303</v>
      </c>
    </row>
    <row r="67" spans="1:24" ht="15.75" thickTop="1" x14ac:dyDescent="0.25">
      <c r="A67" s="10"/>
      <c r="B67" s="36" t="s">
        <v>0</v>
      </c>
      <c r="C67" s="36"/>
      <c r="D67" s="36"/>
      <c r="E67" s="36"/>
      <c r="H67" s="9"/>
      <c r="I67" s="31" t="s">
        <v>0</v>
      </c>
      <c r="J67" s="31"/>
      <c r="K67" s="31"/>
      <c r="L67" s="31"/>
      <c r="T67" s="10"/>
      <c r="U67" s="36" t="s">
        <v>0</v>
      </c>
      <c r="V67" s="36"/>
      <c r="W67" s="36"/>
      <c r="X67" s="36"/>
    </row>
    <row r="68" spans="1:24" ht="30.75" thickBot="1" x14ac:dyDescent="0.3">
      <c r="A68" s="6" t="s">
        <v>1</v>
      </c>
      <c r="B68" s="7" t="s">
        <v>2</v>
      </c>
      <c r="C68" s="7" t="s">
        <v>3</v>
      </c>
      <c r="D68" s="7" t="s">
        <v>4</v>
      </c>
      <c r="E68" s="7" t="s">
        <v>5</v>
      </c>
      <c r="H68" s="1" t="s">
        <v>1</v>
      </c>
      <c r="I68" s="2" t="s">
        <v>2</v>
      </c>
      <c r="J68" s="2" t="s">
        <v>3</v>
      </c>
      <c r="K68" s="2" t="s">
        <v>4</v>
      </c>
      <c r="L68" s="2" t="s">
        <v>5</v>
      </c>
      <c r="T68" s="6" t="s">
        <v>1</v>
      </c>
      <c r="U68" s="7" t="s">
        <v>2</v>
      </c>
      <c r="V68" s="7" t="s">
        <v>3</v>
      </c>
      <c r="W68" s="7" t="s">
        <v>4</v>
      </c>
      <c r="X68" s="7" t="s">
        <v>5</v>
      </c>
    </row>
    <row r="69" spans="1:24" ht="135" x14ac:dyDescent="0.25">
      <c r="A69" s="39" t="s">
        <v>6</v>
      </c>
      <c r="B69" s="41">
        <v>0.14000000000000001</v>
      </c>
      <c r="C69" s="41">
        <v>0.01</v>
      </c>
      <c r="D69" s="41" t="s">
        <v>7</v>
      </c>
      <c r="E69" s="8" t="s">
        <v>8</v>
      </c>
      <c r="H69" s="3" t="s">
        <v>6</v>
      </c>
      <c r="I69" s="4">
        <v>0.04</v>
      </c>
      <c r="J69" s="4">
        <v>0</v>
      </c>
      <c r="K69" s="4" t="s">
        <v>112</v>
      </c>
      <c r="L69" s="27" t="s">
        <v>8</v>
      </c>
      <c r="T69" s="39" t="s">
        <v>6</v>
      </c>
      <c r="U69" s="41">
        <v>3.4386689142636303E+26</v>
      </c>
      <c r="V69" s="41">
        <v>2.2459054266994699E+27</v>
      </c>
      <c r="W69" s="41" t="s">
        <v>276</v>
      </c>
      <c r="X69" s="8" t="s">
        <v>8</v>
      </c>
    </row>
    <row r="70" spans="1:24" ht="30" x14ac:dyDescent="0.25">
      <c r="A70" s="37" t="s">
        <v>9</v>
      </c>
      <c r="B70" s="37"/>
      <c r="C70" s="37"/>
      <c r="D70" s="37"/>
      <c r="E70" s="37"/>
      <c r="H70" s="3" t="s">
        <v>25</v>
      </c>
      <c r="I70" s="4">
        <v>1.95</v>
      </c>
      <c r="J70" s="4">
        <v>0.11</v>
      </c>
      <c r="K70" s="4" t="s">
        <v>290</v>
      </c>
      <c r="L70" s="27" t="s">
        <v>8</v>
      </c>
      <c r="T70" s="39" t="s">
        <v>25</v>
      </c>
      <c r="U70" s="41">
        <v>1.96</v>
      </c>
      <c r="V70" s="41">
        <v>0.11</v>
      </c>
      <c r="W70" s="41" t="s">
        <v>277</v>
      </c>
      <c r="X70" s="8" t="s">
        <v>8</v>
      </c>
    </row>
    <row r="71" spans="1:24" ht="30" x14ac:dyDescent="0.25">
      <c r="A71" s="39" t="s">
        <v>16</v>
      </c>
      <c r="B71" s="42">
        <v>3.29</v>
      </c>
      <c r="C71" s="42"/>
      <c r="D71" s="42"/>
      <c r="E71" s="42"/>
      <c r="H71" s="3" t="s">
        <v>27</v>
      </c>
      <c r="I71" s="4">
        <v>1.56</v>
      </c>
      <c r="J71" s="4">
        <v>0.09</v>
      </c>
      <c r="K71" s="4" t="s">
        <v>291</v>
      </c>
      <c r="L71" s="27" t="s">
        <v>8</v>
      </c>
      <c r="T71" s="39" t="s">
        <v>27</v>
      </c>
      <c r="U71" s="41">
        <v>1.55</v>
      </c>
      <c r="V71" s="41">
        <v>0.08</v>
      </c>
      <c r="W71" s="41" t="s">
        <v>278</v>
      </c>
      <c r="X71" s="8" t="s">
        <v>8</v>
      </c>
    </row>
    <row r="72" spans="1:24" ht="60" x14ac:dyDescent="0.25">
      <c r="A72" s="39" t="s">
        <v>273</v>
      </c>
      <c r="B72" s="42">
        <v>0.28000000000000003</v>
      </c>
      <c r="C72" s="42"/>
      <c r="D72" s="42"/>
      <c r="E72" s="42"/>
      <c r="H72" s="3" t="s">
        <v>29</v>
      </c>
      <c r="I72" s="4">
        <v>1.52</v>
      </c>
      <c r="J72" s="4">
        <v>0.08</v>
      </c>
      <c r="K72" s="4" t="s">
        <v>292</v>
      </c>
      <c r="L72" s="27" t="s">
        <v>8</v>
      </c>
      <c r="T72" s="39" t="s">
        <v>29</v>
      </c>
      <c r="U72" s="41">
        <v>1.53</v>
      </c>
      <c r="V72" s="41">
        <v>0.08</v>
      </c>
      <c r="W72" s="41" t="s">
        <v>279</v>
      </c>
      <c r="X72" s="8" t="s">
        <v>8</v>
      </c>
    </row>
    <row r="73" spans="1:24" ht="45" x14ac:dyDescent="0.25">
      <c r="A73" s="39" t="s">
        <v>11</v>
      </c>
      <c r="B73" s="42">
        <v>0.08</v>
      </c>
      <c r="C73" s="42"/>
      <c r="D73" s="42"/>
      <c r="E73" s="42"/>
      <c r="H73" s="3" t="s">
        <v>116</v>
      </c>
      <c r="I73" s="4">
        <v>1.23</v>
      </c>
      <c r="J73" s="4">
        <v>0.17</v>
      </c>
      <c r="K73" s="4" t="s">
        <v>293</v>
      </c>
      <c r="L73" s="4">
        <v>0.122</v>
      </c>
      <c r="T73" s="39" t="s">
        <v>116</v>
      </c>
      <c r="U73" s="41">
        <v>1.22</v>
      </c>
      <c r="V73" s="41">
        <v>0.16</v>
      </c>
      <c r="W73" s="41" t="s">
        <v>280</v>
      </c>
      <c r="X73" s="41">
        <v>0.13200000000000001</v>
      </c>
    </row>
    <row r="74" spans="1:24" ht="30.75" thickBot="1" x14ac:dyDescent="0.3">
      <c r="A74" s="39" t="s">
        <v>274</v>
      </c>
      <c r="B74" s="43">
        <v>56</v>
      </c>
      <c r="C74" s="43"/>
      <c r="D74" s="43"/>
      <c r="E74" s="43"/>
      <c r="H74" s="3" t="s">
        <v>118</v>
      </c>
      <c r="I74" s="4">
        <v>1.39</v>
      </c>
      <c r="J74" s="4">
        <v>0.14000000000000001</v>
      </c>
      <c r="K74" s="4" t="s">
        <v>294</v>
      </c>
      <c r="L74" s="27">
        <v>1E-3</v>
      </c>
      <c r="T74" s="39" t="s">
        <v>118</v>
      </c>
      <c r="U74" s="41">
        <v>1.35</v>
      </c>
      <c r="V74" s="41">
        <v>0.14000000000000001</v>
      </c>
      <c r="W74" s="41" t="s">
        <v>281</v>
      </c>
      <c r="X74" s="8">
        <v>3.0000000000000001E-3</v>
      </c>
    </row>
    <row r="75" spans="1:24" ht="30" x14ac:dyDescent="0.25">
      <c r="A75" s="44" t="s">
        <v>12</v>
      </c>
      <c r="B75" s="45">
        <v>19503</v>
      </c>
      <c r="C75" s="45"/>
      <c r="D75" s="45"/>
      <c r="E75" s="45"/>
      <c r="H75" s="3" t="s">
        <v>120</v>
      </c>
      <c r="I75" s="4">
        <v>1.66</v>
      </c>
      <c r="J75" s="4">
        <v>0.16</v>
      </c>
      <c r="K75" s="4" t="s">
        <v>295</v>
      </c>
      <c r="L75" s="27" t="s">
        <v>8</v>
      </c>
      <c r="T75" s="39" t="s">
        <v>120</v>
      </c>
      <c r="U75" s="41">
        <v>1.68</v>
      </c>
      <c r="V75" s="41">
        <v>0.16</v>
      </c>
      <c r="W75" s="41" t="s">
        <v>282</v>
      </c>
      <c r="X75" s="8" t="s">
        <v>8</v>
      </c>
    </row>
    <row r="76" spans="1:24" ht="34.5" x14ac:dyDescent="0.25">
      <c r="A76" s="39" t="s">
        <v>259</v>
      </c>
      <c r="B76" s="42" t="s">
        <v>255</v>
      </c>
      <c r="C76" s="42"/>
      <c r="D76" s="42"/>
      <c r="E76" s="42"/>
      <c r="H76" s="3" t="s">
        <v>122</v>
      </c>
      <c r="I76" s="4">
        <v>1.38</v>
      </c>
      <c r="J76" s="4">
        <v>0.16</v>
      </c>
      <c r="K76" s="4" t="s">
        <v>283</v>
      </c>
      <c r="L76" s="27">
        <v>6.0000000000000001E-3</v>
      </c>
      <c r="T76" s="39" t="s">
        <v>122</v>
      </c>
      <c r="U76" s="41">
        <v>1.38</v>
      </c>
      <c r="V76" s="41">
        <v>0.16</v>
      </c>
      <c r="W76" s="41" t="s">
        <v>283</v>
      </c>
      <c r="X76" s="8">
        <v>6.0000000000000001E-3</v>
      </c>
    </row>
    <row r="77" spans="1:24" ht="45" x14ac:dyDescent="0.25">
      <c r="A77" s="39" t="s">
        <v>256</v>
      </c>
      <c r="B77" s="49">
        <v>7.9500000000000001E-2</v>
      </c>
      <c r="H77" s="3" t="s">
        <v>124</v>
      </c>
      <c r="I77" s="4">
        <v>1.64</v>
      </c>
      <c r="J77" s="4">
        <v>0.17</v>
      </c>
      <c r="K77" s="4" t="s">
        <v>296</v>
      </c>
      <c r="L77" s="27" t="s">
        <v>8</v>
      </c>
      <c r="T77" s="39" t="s">
        <v>124</v>
      </c>
      <c r="U77" s="41">
        <v>1.63</v>
      </c>
      <c r="V77" s="41">
        <v>0.17</v>
      </c>
      <c r="W77" s="41" t="s">
        <v>284</v>
      </c>
      <c r="X77" s="8" t="s">
        <v>8</v>
      </c>
    </row>
    <row r="78" spans="1:24" ht="30" x14ac:dyDescent="0.25">
      <c r="H78" s="3" t="s">
        <v>126</v>
      </c>
      <c r="I78" s="4">
        <v>2.67</v>
      </c>
      <c r="J78" s="4">
        <v>0.25</v>
      </c>
      <c r="K78" s="4" t="s">
        <v>297</v>
      </c>
      <c r="L78" s="27" t="s">
        <v>8</v>
      </c>
      <c r="T78" s="39" t="s">
        <v>126</v>
      </c>
      <c r="U78" s="41">
        <v>2.71</v>
      </c>
      <c r="V78" s="41">
        <v>0.25</v>
      </c>
      <c r="W78" s="41" t="s">
        <v>285</v>
      </c>
      <c r="X78" s="8" t="s">
        <v>8</v>
      </c>
    </row>
    <row r="79" spans="1:24" ht="30" x14ac:dyDescent="0.25">
      <c r="H79" s="3" t="s">
        <v>35</v>
      </c>
      <c r="I79" s="4">
        <v>1.29</v>
      </c>
      <c r="J79" s="4">
        <v>0.06</v>
      </c>
      <c r="K79" s="4" t="s">
        <v>298</v>
      </c>
      <c r="L79" s="27" t="s">
        <v>8</v>
      </c>
      <c r="T79" s="39" t="s">
        <v>286</v>
      </c>
      <c r="U79" s="41">
        <v>0.97</v>
      </c>
      <c r="V79" s="41">
        <v>0</v>
      </c>
      <c r="W79" s="41" t="s">
        <v>287</v>
      </c>
      <c r="X79" s="8" t="s">
        <v>8</v>
      </c>
    </row>
    <row r="80" spans="1:24" ht="30" x14ac:dyDescent="0.25">
      <c r="H80" s="32" t="s">
        <v>9</v>
      </c>
      <c r="I80" s="32"/>
      <c r="J80" s="32"/>
      <c r="K80" s="32"/>
      <c r="L80" s="32"/>
      <c r="T80" s="26" t="s">
        <v>9</v>
      </c>
      <c r="U80" s="26"/>
      <c r="V80" s="26"/>
      <c r="W80" s="26"/>
      <c r="X80" s="26"/>
    </row>
    <row r="81" spans="1:24" ht="18" x14ac:dyDescent="0.25">
      <c r="H81" s="3" t="s">
        <v>10</v>
      </c>
      <c r="I81" s="30">
        <v>3.29</v>
      </c>
      <c r="J81" s="30"/>
      <c r="K81" s="30"/>
      <c r="L81" s="30"/>
      <c r="T81" s="39" t="s">
        <v>16</v>
      </c>
      <c r="U81" s="39">
        <v>3.29</v>
      </c>
      <c r="V81" s="39"/>
      <c r="W81" s="39"/>
      <c r="X81" s="39"/>
    </row>
    <row r="82" spans="1:24" ht="18" x14ac:dyDescent="0.25">
      <c r="A82"/>
      <c r="B82"/>
      <c r="C82"/>
      <c r="D82"/>
      <c r="E82"/>
      <c r="H82" s="3" t="s">
        <v>253</v>
      </c>
      <c r="I82" s="30">
        <v>0.01</v>
      </c>
      <c r="J82" s="30"/>
      <c r="K82" s="30"/>
      <c r="L82" s="30"/>
      <c r="T82" s="39" t="s">
        <v>273</v>
      </c>
      <c r="U82" s="39">
        <v>1.81</v>
      </c>
      <c r="V82" s="39"/>
      <c r="W82" s="39"/>
      <c r="X82" s="39"/>
    </row>
    <row r="83" spans="1:24" ht="36" x14ac:dyDescent="0.25">
      <c r="A83"/>
      <c r="B83"/>
      <c r="C83"/>
      <c r="D83"/>
      <c r="E83"/>
      <c r="H83" s="3" t="s">
        <v>11</v>
      </c>
      <c r="I83" s="30">
        <v>0</v>
      </c>
      <c r="J83" s="30"/>
      <c r="K83" s="30"/>
      <c r="L83" s="30"/>
      <c r="T83" s="39" t="s">
        <v>289</v>
      </c>
      <c r="U83" s="39">
        <v>0</v>
      </c>
      <c r="V83" s="39"/>
      <c r="W83" s="39"/>
      <c r="X83" s="39"/>
    </row>
    <row r="84" spans="1:24" ht="36.75" thickBot="1" x14ac:dyDescent="0.3">
      <c r="A84"/>
      <c r="B84"/>
      <c r="C84"/>
      <c r="D84"/>
      <c r="E84"/>
      <c r="H84" s="3" t="s">
        <v>254</v>
      </c>
      <c r="I84" s="28">
        <v>56</v>
      </c>
      <c r="J84" s="28"/>
      <c r="K84" s="28"/>
      <c r="L84" s="28"/>
      <c r="T84" s="39" t="s">
        <v>275</v>
      </c>
      <c r="U84" s="39">
        <v>-1</v>
      </c>
      <c r="V84" s="39"/>
      <c r="W84" s="39"/>
      <c r="X84" s="39"/>
    </row>
    <row r="85" spans="1:24" x14ac:dyDescent="0.25">
      <c r="A85"/>
      <c r="B85"/>
      <c r="C85"/>
      <c r="D85"/>
      <c r="E85"/>
      <c r="H85" s="5" t="s">
        <v>12</v>
      </c>
      <c r="I85" s="29">
        <v>19503</v>
      </c>
      <c r="J85" s="29"/>
      <c r="K85" s="29"/>
      <c r="L85" s="29"/>
      <c r="T85" s="39" t="s">
        <v>11</v>
      </c>
      <c r="U85" s="39">
        <v>0</v>
      </c>
      <c r="V85" s="39"/>
      <c r="W85" s="39"/>
      <c r="X85" s="39"/>
    </row>
    <row r="86" spans="1:24" ht="36.75" thickBot="1" x14ac:dyDescent="0.3">
      <c r="A86"/>
      <c r="B86"/>
      <c r="C86"/>
      <c r="D86"/>
      <c r="E86"/>
      <c r="H86" s="3" t="s">
        <v>13</v>
      </c>
      <c r="I86" s="30" t="s">
        <v>299</v>
      </c>
      <c r="J86" s="30"/>
      <c r="K86" s="30"/>
      <c r="L86" s="30"/>
      <c r="T86" s="39" t="s">
        <v>274</v>
      </c>
      <c r="U86" s="50">
        <v>56</v>
      </c>
      <c r="V86" s="50"/>
      <c r="W86" s="50"/>
      <c r="X86" s="50"/>
    </row>
    <row r="87" spans="1:24" ht="30" x14ac:dyDescent="0.25">
      <c r="A87"/>
      <c r="B87"/>
      <c r="C87"/>
      <c r="D87"/>
      <c r="E87"/>
      <c r="T87" s="44" t="s">
        <v>12</v>
      </c>
      <c r="U87" s="44">
        <v>19503</v>
      </c>
      <c r="V87" s="44"/>
      <c r="W87" s="44"/>
      <c r="X87" s="44"/>
    </row>
    <row r="88" spans="1:24" ht="64.5" x14ac:dyDescent="0.25">
      <c r="A88"/>
      <c r="B88"/>
      <c r="C88"/>
      <c r="D88"/>
      <c r="E88"/>
      <c r="T88" s="39" t="s">
        <v>259</v>
      </c>
      <c r="U88" s="39" t="s">
        <v>288</v>
      </c>
      <c r="V88" s="39"/>
      <c r="W88" s="39"/>
      <c r="X88" s="39"/>
    </row>
    <row r="89" spans="1:24" x14ac:dyDescent="0.25">
      <c r="A89"/>
      <c r="B89"/>
      <c r="C89"/>
      <c r="D89"/>
      <c r="E89"/>
    </row>
    <row r="90" spans="1:24" x14ac:dyDescent="0.25">
      <c r="A90"/>
      <c r="B90"/>
      <c r="C90"/>
      <c r="D90"/>
      <c r="E90"/>
    </row>
    <row r="91" spans="1:24" x14ac:dyDescent="0.25">
      <c r="A91"/>
      <c r="B91"/>
      <c r="C91"/>
      <c r="D91"/>
      <c r="E91"/>
    </row>
    <row r="92" spans="1:24" x14ac:dyDescent="0.25">
      <c r="A92"/>
      <c r="B92"/>
      <c r="C92"/>
      <c r="D92"/>
      <c r="E92"/>
    </row>
    <row r="93" spans="1:24" x14ac:dyDescent="0.25">
      <c r="A93"/>
      <c r="B93"/>
      <c r="C93"/>
      <c r="D93"/>
      <c r="E93"/>
    </row>
    <row r="94" spans="1:24" x14ac:dyDescent="0.25">
      <c r="A94"/>
      <c r="B94"/>
      <c r="C94"/>
      <c r="D94"/>
      <c r="E94"/>
    </row>
    <row r="95" spans="1:24" x14ac:dyDescent="0.25">
      <c r="A95"/>
      <c r="B95"/>
      <c r="C95"/>
      <c r="D95"/>
      <c r="E95"/>
    </row>
    <row r="96" spans="1:24" x14ac:dyDescent="0.25">
      <c r="A96"/>
      <c r="B96"/>
      <c r="C96"/>
      <c r="D96"/>
      <c r="E96"/>
    </row>
    <row r="97" spans="1:5" x14ac:dyDescent="0.25">
      <c r="A97"/>
      <c r="B97"/>
      <c r="C97"/>
      <c r="D97"/>
      <c r="E97"/>
    </row>
    <row r="98" spans="1:5" x14ac:dyDescent="0.25">
      <c r="A98"/>
      <c r="B98"/>
      <c r="C98"/>
      <c r="D98"/>
      <c r="E98"/>
    </row>
    <row r="99" spans="1:5" x14ac:dyDescent="0.25">
      <c r="A99"/>
      <c r="B99"/>
      <c r="C99"/>
      <c r="D99"/>
      <c r="E99"/>
    </row>
    <row r="100" spans="1:5" x14ac:dyDescent="0.25">
      <c r="A100"/>
      <c r="B100"/>
      <c r="C100"/>
      <c r="D100"/>
      <c r="E100"/>
    </row>
    <row r="101" spans="1:5" x14ac:dyDescent="0.25">
      <c r="A101"/>
      <c r="B101"/>
      <c r="C101"/>
      <c r="D101"/>
      <c r="E101"/>
    </row>
    <row r="102" spans="1:5" x14ac:dyDescent="0.25">
      <c r="A102"/>
      <c r="B102"/>
      <c r="C102"/>
      <c r="D102"/>
      <c r="E102"/>
    </row>
    <row r="103" spans="1:5" x14ac:dyDescent="0.25">
      <c r="A103"/>
      <c r="B103"/>
      <c r="C103"/>
      <c r="D103"/>
      <c r="E103"/>
    </row>
    <row r="104" spans="1:5" x14ac:dyDescent="0.25">
      <c r="A104"/>
      <c r="B104"/>
      <c r="C104"/>
      <c r="D104"/>
      <c r="E104"/>
    </row>
  </sheetData>
  <mergeCells count="81">
    <mergeCell ref="I84:L84"/>
    <mergeCell ref="I85:L85"/>
    <mergeCell ref="I86:L86"/>
    <mergeCell ref="I67:L67"/>
    <mergeCell ref="H80:L80"/>
    <mergeCell ref="I81:L81"/>
    <mergeCell ref="I82:L82"/>
    <mergeCell ref="I83:L83"/>
    <mergeCell ref="U67:X67"/>
    <mergeCell ref="B74:E74"/>
    <mergeCell ref="B75:E75"/>
    <mergeCell ref="B76:E76"/>
    <mergeCell ref="B67:E67"/>
    <mergeCell ref="A70:E70"/>
    <mergeCell ref="B71:E71"/>
    <mergeCell ref="B72:E72"/>
    <mergeCell ref="B73:E73"/>
    <mergeCell ref="O56:S56"/>
    <mergeCell ref="P53:Q53"/>
    <mergeCell ref="R53:S53"/>
    <mergeCell ref="P54:Q54"/>
    <mergeCell ref="R54:S54"/>
    <mergeCell ref="P55:Q55"/>
    <mergeCell ref="R55:S55"/>
    <mergeCell ref="H49:L49"/>
    <mergeCell ref="I50:L50"/>
    <mergeCell ref="I51:L51"/>
    <mergeCell ref="I52:L52"/>
    <mergeCell ref="O49:S49"/>
    <mergeCell ref="P50:Q50"/>
    <mergeCell ref="R50:S50"/>
    <mergeCell ref="P51:Q51"/>
    <mergeCell ref="R51:S51"/>
    <mergeCell ref="I55:L55"/>
    <mergeCell ref="I53:L53"/>
    <mergeCell ref="I54:L54"/>
    <mergeCell ref="P52:Q52"/>
    <mergeCell ref="R52:S52"/>
    <mergeCell ref="I24:L24"/>
    <mergeCell ref="B42:E42"/>
    <mergeCell ref="B43:E43"/>
    <mergeCell ref="B44:E44"/>
    <mergeCell ref="B45:E45"/>
    <mergeCell ref="B36:E36"/>
    <mergeCell ref="B41:E41"/>
    <mergeCell ref="P36:Q36"/>
    <mergeCell ref="R36:S36"/>
    <mergeCell ref="A39:E39"/>
    <mergeCell ref="B40:E40"/>
    <mergeCell ref="R22:S22"/>
    <mergeCell ref="P20:Q20"/>
    <mergeCell ref="P24:Q24"/>
    <mergeCell ref="R24:S24"/>
    <mergeCell ref="O25:S25"/>
    <mergeCell ref="I20:L20"/>
    <mergeCell ref="I36:L36"/>
    <mergeCell ref="P9:Q9"/>
    <mergeCell ref="R9:S9"/>
    <mergeCell ref="O18:S18"/>
    <mergeCell ref="P19:Q19"/>
    <mergeCell ref="R19:S19"/>
    <mergeCell ref="P23:Q23"/>
    <mergeCell ref="R23:S23"/>
    <mergeCell ref="I21:L21"/>
    <mergeCell ref="I22:L22"/>
    <mergeCell ref="I23:L23"/>
    <mergeCell ref="R20:S20"/>
    <mergeCell ref="P21:Q21"/>
    <mergeCell ref="R21:S21"/>
    <mergeCell ref="P22:Q22"/>
    <mergeCell ref="B17:E17"/>
    <mergeCell ref="B18:E18"/>
    <mergeCell ref="I9:L9"/>
    <mergeCell ref="H18:L18"/>
    <mergeCell ref="I19:L19"/>
    <mergeCell ref="A9:D9"/>
    <mergeCell ref="A12:E12"/>
    <mergeCell ref="B13:E13"/>
    <mergeCell ref="B14:E14"/>
    <mergeCell ref="B15:E15"/>
    <mergeCell ref="B16:E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4CAFE-D459-494B-925D-5F0D077861D2}">
  <dimension ref="A1:E49"/>
  <sheetViews>
    <sheetView workbookViewId="0">
      <selection activeCell="G6" sqref="G6"/>
    </sheetView>
  </sheetViews>
  <sheetFormatPr baseColWidth="10" defaultRowHeight="15" x14ac:dyDescent="0.25"/>
  <cols>
    <col min="5" max="5" width="13.42578125" bestFit="1" customWidth="1"/>
  </cols>
  <sheetData>
    <row r="1" spans="1:5" x14ac:dyDescent="0.2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 x14ac:dyDescent="0.25">
      <c r="A2">
        <v>11111</v>
      </c>
      <c r="B2">
        <v>129</v>
      </c>
      <c r="C2">
        <v>6</v>
      </c>
      <c r="D2">
        <v>4.6511627906976702E-2</v>
      </c>
      <c r="E2">
        <v>4.6511627906976702</v>
      </c>
    </row>
    <row r="3" spans="1:5" x14ac:dyDescent="0.25">
      <c r="A3">
        <v>11112</v>
      </c>
      <c r="B3">
        <v>385</v>
      </c>
      <c r="C3">
        <v>26</v>
      </c>
      <c r="D3">
        <v>6.7532467532467499E-2</v>
      </c>
      <c r="E3">
        <v>6.7532467532467502</v>
      </c>
    </row>
    <row r="4" spans="1:5" x14ac:dyDescent="0.25">
      <c r="A4">
        <v>11121</v>
      </c>
      <c r="B4">
        <v>230</v>
      </c>
      <c r="C4">
        <v>14</v>
      </c>
      <c r="D4">
        <v>6.08695652173913E-2</v>
      </c>
      <c r="E4">
        <v>6.0869565217391299</v>
      </c>
    </row>
    <row r="5" spans="1:5" x14ac:dyDescent="0.25">
      <c r="A5">
        <v>11122</v>
      </c>
      <c r="B5">
        <v>421</v>
      </c>
      <c r="C5">
        <v>37</v>
      </c>
      <c r="D5">
        <v>8.7885985748218501E-2</v>
      </c>
      <c r="E5">
        <v>8.7885985748218491</v>
      </c>
    </row>
    <row r="6" spans="1:5" x14ac:dyDescent="0.25">
      <c r="A6">
        <v>11131</v>
      </c>
      <c r="B6">
        <v>430</v>
      </c>
      <c r="C6">
        <v>35</v>
      </c>
      <c r="D6">
        <v>8.1395348837209294E-2</v>
      </c>
      <c r="E6">
        <v>8.1395348837209305</v>
      </c>
    </row>
    <row r="7" spans="1:5" x14ac:dyDescent="0.25">
      <c r="A7">
        <v>11132</v>
      </c>
      <c r="B7">
        <v>865</v>
      </c>
      <c r="C7">
        <v>71</v>
      </c>
      <c r="D7">
        <v>8.2080924855491302E-2</v>
      </c>
      <c r="E7">
        <v>8.2080924855491304</v>
      </c>
    </row>
    <row r="8" spans="1:5" x14ac:dyDescent="0.25">
      <c r="A8">
        <v>11211</v>
      </c>
      <c r="B8">
        <v>256</v>
      </c>
      <c r="C8">
        <v>24</v>
      </c>
      <c r="D8">
        <v>9.375E-2</v>
      </c>
      <c r="E8">
        <v>9.375</v>
      </c>
    </row>
    <row r="9" spans="1:5" x14ac:dyDescent="0.25">
      <c r="A9">
        <v>11212</v>
      </c>
      <c r="B9">
        <v>543</v>
      </c>
      <c r="C9">
        <v>49</v>
      </c>
      <c r="D9">
        <v>9.0239410681399596E-2</v>
      </c>
      <c r="E9">
        <v>9.0239410681399601</v>
      </c>
    </row>
    <row r="10" spans="1:5" x14ac:dyDescent="0.25">
      <c r="A10">
        <v>11221</v>
      </c>
      <c r="B10">
        <v>355</v>
      </c>
      <c r="C10">
        <v>40</v>
      </c>
      <c r="D10">
        <v>0.11267605633802801</v>
      </c>
      <c r="E10">
        <v>11.2676056338028</v>
      </c>
    </row>
    <row r="11" spans="1:5" x14ac:dyDescent="0.25">
      <c r="A11">
        <v>11222</v>
      </c>
      <c r="B11">
        <v>644</v>
      </c>
      <c r="C11">
        <v>80</v>
      </c>
      <c r="D11">
        <v>0.12422360248447201</v>
      </c>
      <c r="E11">
        <v>12.4223602484472</v>
      </c>
    </row>
    <row r="12" spans="1:5" x14ac:dyDescent="0.25">
      <c r="A12">
        <v>11231</v>
      </c>
      <c r="B12">
        <v>528</v>
      </c>
      <c r="C12">
        <v>66</v>
      </c>
      <c r="D12">
        <v>0.125</v>
      </c>
      <c r="E12">
        <v>12.5</v>
      </c>
    </row>
    <row r="13" spans="1:5" x14ac:dyDescent="0.25">
      <c r="A13">
        <v>11232</v>
      </c>
      <c r="B13">
        <v>894</v>
      </c>
      <c r="C13">
        <v>105</v>
      </c>
      <c r="D13">
        <v>0.11744966442953</v>
      </c>
      <c r="E13">
        <v>11.744966442953</v>
      </c>
    </row>
    <row r="14" spans="1:5" x14ac:dyDescent="0.25">
      <c r="A14">
        <v>12111</v>
      </c>
      <c r="B14">
        <v>89</v>
      </c>
      <c r="C14">
        <v>3</v>
      </c>
      <c r="D14">
        <v>3.3707865168539297E-2</v>
      </c>
      <c r="E14">
        <v>3.3707865168539302</v>
      </c>
    </row>
    <row r="15" spans="1:5" x14ac:dyDescent="0.25">
      <c r="A15">
        <v>12112</v>
      </c>
      <c r="B15">
        <v>270</v>
      </c>
      <c r="C15">
        <v>27</v>
      </c>
      <c r="D15">
        <v>0.1</v>
      </c>
      <c r="E15">
        <v>10</v>
      </c>
    </row>
    <row r="16" spans="1:5" x14ac:dyDescent="0.25">
      <c r="A16">
        <v>12121</v>
      </c>
      <c r="B16">
        <v>165</v>
      </c>
      <c r="C16">
        <v>13</v>
      </c>
      <c r="D16">
        <v>7.8787878787878796E-2</v>
      </c>
      <c r="E16">
        <v>7.8787878787878798</v>
      </c>
    </row>
    <row r="17" spans="1:5" x14ac:dyDescent="0.25">
      <c r="A17">
        <v>12122</v>
      </c>
      <c r="B17">
        <v>349</v>
      </c>
      <c r="C17">
        <v>47</v>
      </c>
      <c r="D17">
        <v>0.13467048710601701</v>
      </c>
      <c r="E17">
        <v>13.4670487106017</v>
      </c>
    </row>
    <row r="18" spans="1:5" x14ac:dyDescent="0.25">
      <c r="A18">
        <v>12131</v>
      </c>
      <c r="B18">
        <v>314</v>
      </c>
      <c r="C18">
        <v>18</v>
      </c>
      <c r="D18">
        <v>5.7324840764331197E-2</v>
      </c>
      <c r="E18">
        <v>5.7324840764331197</v>
      </c>
    </row>
    <row r="19" spans="1:5" x14ac:dyDescent="0.25">
      <c r="A19">
        <v>12132</v>
      </c>
      <c r="B19">
        <v>667</v>
      </c>
      <c r="C19">
        <v>68</v>
      </c>
      <c r="D19">
        <v>0.101949025487256</v>
      </c>
      <c r="E19">
        <v>10.194902548725601</v>
      </c>
    </row>
    <row r="20" spans="1:5" x14ac:dyDescent="0.25">
      <c r="A20">
        <v>12211</v>
      </c>
      <c r="B20">
        <v>201</v>
      </c>
      <c r="C20">
        <v>14</v>
      </c>
      <c r="D20">
        <v>6.9651741293532299E-2</v>
      </c>
      <c r="E20">
        <v>6.9651741293532297</v>
      </c>
    </row>
    <row r="21" spans="1:5" x14ac:dyDescent="0.25">
      <c r="A21">
        <v>12212</v>
      </c>
      <c r="B21">
        <v>461</v>
      </c>
      <c r="C21">
        <v>45</v>
      </c>
      <c r="D21">
        <v>9.7613882863340606E-2</v>
      </c>
      <c r="E21">
        <v>9.7613882863340606</v>
      </c>
    </row>
    <row r="22" spans="1:5" x14ac:dyDescent="0.25">
      <c r="A22">
        <v>12221</v>
      </c>
      <c r="B22">
        <v>263</v>
      </c>
      <c r="C22">
        <v>34</v>
      </c>
      <c r="D22">
        <v>0.129277566539924</v>
      </c>
      <c r="E22">
        <v>12.9277566539924</v>
      </c>
    </row>
    <row r="23" spans="1:5" x14ac:dyDescent="0.25">
      <c r="A23">
        <v>12222</v>
      </c>
      <c r="B23">
        <v>507</v>
      </c>
      <c r="C23">
        <v>65</v>
      </c>
      <c r="D23">
        <v>0.128205128205128</v>
      </c>
      <c r="E23">
        <v>12.8205128205128</v>
      </c>
    </row>
    <row r="24" spans="1:5" x14ac:dyDescent="0.25">
      <c r="A24">
        <v>12231</v>
      </c>
      <c r="B24">
        <v>327</v>
      </c>
      <c r="C24">
        <v>38</v>
      </c>
      <c r="D24">
        <v>0.116207951070336</v>
      </c>
      <c r="E24">
        <v>11.620795107033601</v>
      </c>
    </row>
    <row r="25" spans="1:5" x14ac:dyDescent="0.25">
      <c r="A25">
        <v>12232</v>
      </c>
      <c r="B25">
        <v>720</v>
      </c>
      <c r="C25">
        <v>105</v>
      </c>
      <c r="D25">
        <v>0.14583333333333301</v>
      </c>
      <c r="E25">
        <v>14.5833333333333</v>
      </c>
    </row>
    <row r="26" spans="1:5" x14ac:dyDescent="0.25">
      <c r="A26">
        <v>21111</v>
      </c>
      <c r="B26">
        <v>119</v>
      </c>
      <c r="C26">
        <v>5</v>
      </c>
      <c r="D26">
        <v>4.20168067226891E-2</v>
      </c>
      <c r="E26">
        <v>4.2016806722689104</v>
      </c>
    </row>
    <row r="27" spans="1:5" x14ac:dyDescent="0.25">
      <c r="A27">
        <v>21112</v>
      </c>
      <c r="B27">
        <v>332</v>
      </c>
      <c r="C27">
        <v>38</v>
      </c>
      <c r="D27">
        <v>0.114457831325301</v>
      </c>
      <c r="E27">
        <v>11.445783132530099</v>
      </c>
    </row>
    <row r="28" spans="1:5" x14ac:dyDescent="0.25">
      <c r="A28">
        <v>21121</v>
      </c>
      <c r="B28">
        <v>207</v>
      </c>
      <c r="C28">
        <v>11</v>
      </c>
      <c r="D28">
        <v>5.3140096618357502E-2</v>
      </c>
      <c r="E28">
        <v>5.3140096618357502</v>
      </c>
    </row>
    <row r="29" spans="1:5" x14ac:dyDescent="0.25">
      <c r="A29">
        <v>21122</v>
      </c>
      <c r="B29">
        <v>466</v>
      </c>
      <c r="C29">
        <v>55</v>
      </c>
      <c r="D29">
        <v>0.118025751072961</v>
      </c>
      <c r="E29">
        <v>11.8025751072961</v>
      </c>
    </row>
    <row r="30" spans="1:5" x14ac:dyDescent="0.25">
      <c r="A30">
        <v>21131</v>
      </c>
      <c r="B30">
        <v>422</v>
      </c>
      <c r="C30">
        <v>43</v>
      </c>
      <c r="D30">
        <v>0.10189573459715601</v>
      </c>
      <c r="E30">
        <v>10.1895734597156</v>
      </c>
    </row>
    <row r="31" spans="1:5" x14ac:dyDescent="0.25">
      <c r="A31">
        <v>21132</v>
      </c>
      <c r="B31">
        <v>783</v>
      </c>
      <c r="C31">
        <v>83</v>
      </c>
      <c r="D31">
        <v>0.106002554278416</v>
      </c>
      <c r="E31">
        <v>10.600255427841599</v>
      </c>
    </row>
    <row r="32" spans="1:5" x14ac:dyDescent="0.25">
      <c r="A32">
        <v>21211</v>
      </c>
      <c r="B32">
        <v>229</v>
      </c>
      <c r="C32">
        <v>21</v>
      </c>
      <c r="D32">
        <v>9.1703056768558999E-2</v>
      </c>
      <c r="E32">
        <v>9.1703056768559001</v>
      </c>
    </row>
    <row r="33" spans="1:5" x14ac:dyDescent="0.25">
      <c r="A33">
        <v>21212</v>
      </c>
      <c r="B33">
        <v>528</v>
      </c>
      <c r="C33">
        <v>86</v>
      </c>
      <c r="D33">
        <v>0.16287878787878801</v>
      </c>
      <c r="E33">
        <v>16.2878787878788</v>
      </c>
    </row>
    <row r="34" spans="1:5" x14ac:dyDescent="0.25">
      <c r="A34">
        <v>21221</v>
      </c>
      <c r="B34">
        <v>337</v>
      </c>
      <c r="C34">
        <v>60</v>
      </c>
      <c r="D34">
        <v>0.178041543026706</v>
      </c>
      <c r="E34">
        <v>17.8041543026706</v>
      </c>
    </row>
    <row r="35" spans="1:5" x14ac:dyDescent="0.25">
      <c r="A35">
        <v>21222</v>
      </c>
      <c r="B35">
        <v>615</v>
      </c>
      <c r="C35">
        <v>104</v>
      </c>
      <c r="D35">
        <v>0.16910569105691101</v>
      </c>
      <c r="E35">
        <v>16.910569105691099</v>
      </c>
    </row>
    <row r="36" spans="1:5" x14ac:dyDescent="0.25">
      <c r="A36">
        <v>21231</v>
      </c>
      <c r="B36">
        <v>517</v>
      </c>
      <c r="C36">
        <v>101</v>
      </c>
      <c r="D36">
        <v>0.195357833655706</v>
      </c>
      <c r="E36">
        <v>19.535783365570602</v>
      </c>
    </row>
    <row r="37" spans="1:5" x14ac:dyDescent="0.25">
      <c r="A37">
        <v>21232</v>
      </c>
      <c r="B37">
        <v>857</v>
      </c>
      <c r="C37">
        <v>170</v>
      </c>
      <c r="D37">
        <v>0.198366394399067</v>
      </c>
      <c r="E37">
        <v>19.836639439906701</v>
      </c>
    </row>
    <row r="38" spans="1:5" x14ac:dyDescent="0.25">
      <c r="A38">
        <v>22111</v>
      </c>
      <c r="B38">
        <v>88</v>
      </c>
      <c r="C38">
        <v>14</v>
      </c>
      <c r="D38">
        <v>0.15909090909090901</v>
      </c>
      <c r="E38">
        <v>15.909090909090899</v>
      </c>
    </row>
    <row r="39" spans="1:5" x14ac:dyDescent="0.25">
      <c r="A39">
        <v>22112</v>
      </c>
      <c r="B39">
        <v>265</v>
      </c>
      <c r="C39">
        <v>56</v>
      </c>
      <c r="D39">
        <v>0.211320754716981</v>
      </c>
      <c r="E39">
        <v>21.132075471698101</v>
      </c>
    </row>
    <row r="40" spans="1:5" x14ac:dyDescent="0.25">
      <c r="A40">
        <v>22121</v>
      </c>
      <c r="B40">
        <v>168</v>
      </c>
      <c r="C40">
        <v>21</v>
      </c>
      <c r="D40">
        <v>0.125</v>
      </c>
      <c r="E40">
        <v>12.5</v>
      </c>
    </row>
    <row r="41" spans="1:5" x14ac:dyDescent="0.25">
      <c r="A41">
        <v>22122</v>
      </c>
      <c r="B41">
        <v>319</v>
      </c>
      <c r="C41">
        <v>80</v>
      </c>
      <c r="D41">
        <v>0.25078369905956099</v>
      </c>
      <c r="E41">
        <v>25.078369905956102</v>
      </c>
    </row>
    <row r="42" spans="1:5" x14ac:dyDescent="0.25">
      <c r="A42">
        <v>22131</v>
      </c>
      <c r="B42">
        <v>309</v>
      </c>
      <c r="C42">
        <v>37</v>
      </c>
      <c r="D42">
        <v>0.119741100323625</v>
      </c>
      <c r="E42">
        <v>11.9741100323625</v>
      </c>
    </row>
    <row r="43" spans="1:5" x14ac:dyDescent="0.25">
      <c r="A43">
        <v>22132</v>
      </c>
      <c r="B43">
        <v>619</v>
      </c>
      <c r="C43">
        <v>131</v>
      </c>
      <c r="D43">
        <v>0.21163166397415201</v>
      </c>
      <c r="E43">
        <v>21.1631663974152</v>
      </c>
    </row>
    <row r="44" spans="1:5" x14ac:dyDescent="0.25">
      <c r="A44">
        <v>22211</v>
      </c>
      <c r="B44">
        <v>183</v>
      </c>
      <c r="C44">
        <v>32</v>
      </c>
      <c r="D44">
        <v>0.17486338797814199</v>
      </c>
      <c r="E44">
        <v>17.486338797814199</v>
      </c>
    </row>
    <row r="45" spans="1:5" x14ac:dyDescent="0.25">
      <c r="A45">
        <v>22212</v>
      </c>
      <c r="B45">
        <v>432</v>
      </c>
      <c r="C45">
        <v>91</v>
      </c>
      <c r="D45">
        <v>0.210648148148148</v>
      </c>
      <c r="E45">
        <v>21.064814814814799</v>
      </c>
    </row>
    <row r="46" spans="1:5" x14ac:dyDescent="0.25">
      <c r="A46">
        <v>22221</v>
      </c>
      <c r="B46">
        <v>212</v>
      </c>
      <c r="C46">
        <v>48</v>
      </c>
      <c r="D46">
        <v>0.22641509433962301</v>
      </c>
      <c r="E46">
        <v>22.641509433962302</v>
      </c>
    </row>
    <row r="47" spans="1:5" x14ac:dyDescent="0.25">
      <c r="A47">
        <v>22222</v>
      </c>
      <c r="B47">
        <v>471</v>
      </c>
      <c r="C47">
        <v>146</v>
      </c>
      <c r="D47">
        <v>0.30997876857749501</v>
      </c>
      <c r="E47">
        <v>30.9978768577495</v>
      </c>
    </row>
    <row r="48" spans="1:5" x14ac:dyDescent="0.25">
      <c r="A48">
        <v>22231</v>
      </c>
      <c r="B48">
        <v>350</v>
      </c>
      <c r="C48">
        <v>90</v>
      </c>
      <c r="D48">
        <v>0.25714285714285701</v>
      </c>
      <c r="E48">
        <v>25.714285714285701</v>
      </c>
    </row>
    <row r="49" spans="1:5" x14ac:dyDescent="0.25">
      <c r="A49">
        <v>22232</v>
      </c>
      <c r="B49">
        <v>662</v>
      </c>
      <c r="C49">
        <v>197</v>
      </c>
      <c r="D49">
        <v>0.297583081570997</v>
      </c>
      <c r="E49">
        <v>29.758308157099702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EA17-5E47-49D9-9410-D7CE98030AB7}">
  <dimension ref="A1:X49"/>
  <sheetViews>
    <sheetView workbookViewId="0">
      <selection activeCell="Y5" sqref="Y5"/>
    </sheetView>
  </sheetViews>
  <sheetFormatPr baseColWidth="10" defaultRowHeight="15" x14ac:dyDescent="0.25"/>
  <sheetData>
    <row r="1" spans="1:24" x14ac:dyDescent="0.25">
      <c r="A1" t="s">
        <v>47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</row>
    <row r="2" spans="1:24" x14ac:dyDescent="0.25">
      <c r="A2">
        <v>11111</v>
      </c>
      <c r="B2" t="s">
        <v>75</v>
      </c>
      <c r="C2" s="11" t="s">
        <v>84</v>
      </c>
      <c r="D2" t="s">
        <v>76</v>
      </c>
      <c r="E2" t="s">
        <v>77</v>
      </c>
      <c r="F2" t="s">
        <v>78</v>
      </c>
      <c r="G2">
        <v>4.6511627906976702E-2</v>
      </c>
      <c r="H2">
        <v>129</v>
      </c>
      <c r="I2">
        <v>6.6534489704684798</v>
      </c>
      <c r="J2">
        <v>12.3420293595633</v>
      </c>
      <c r="K2">
        <v>-3.0754373494820699</v>
      </c>
      <c r="L2">
        <v>-2.7488968723140101</v>
      </c>
      <c r="M2">
        <v>-3.4083955103602799</v>
      </c>
      <c r="N2">
        <v>-3.0737348495508701</v>
      </c>
      <c r="O2">
        <v>4.4369334088590797</v>
      </c>
      <c r="P2">
        <v>5.3692069713819901</v>
      </c>
      <c r="Q2">
        <v>3.68519137831403</v>
      </c>
      <c r="R2">
        <v>4.4355120719475201</v>
      </c>
      <c r="S2">
        <v>6.0935381710390404</v>
      </c>
      <c r="T2">
        <v>3.2087711149499598</v>
      </c>
      <c r="U2">
        <v>50.209907192491201</v>
      </c>
      <c r="V2">
        <v>57.0735829104324</v>
      </c>
      <c r="W2">
        <v>43.453910664029003</v>
      </c>
      <c r="X2">
        <v>4.6511627906976702</v>
      </c>
    </row>
    <row r="3" spans="1:24" x14ac:dyDescent="0.25">
      <c r="A3">
        <v>11112</v>
      </c>
      <c r="B3" t="s">
        <v>75</v>
      </c>
      <c r="C3" s="11" t="s">
        <v>84</v>
      </c>
      <c r="D3" t="s">
        <v>76</v>
      </c>
      <c r="E3" t="s">
        <v>77</v>
      </c>
      <c r="F3" t="s">
        <v>79</v>
      </c>
      <c r="G3">
        <v>6.7532467532467499E-2</v>
      </c>
      <c r="H3">
        <v>385</v>
      </c>
      <c r="I3">
        <v>7.3226085639135103</v>
      </c>
      <c r="J3">
        <v>12.3420293595633</v>
      </c>
      <c r="K3">
        <v>-2.7360258871099101</v>
      </c>
      <c r="L3">
        <v>-2.4099361767918599</v>
      </c>
      <c r="M3">
        <v>-3.0277492162785702</v>
      </c>
      <c r="N3">
        <v>-2.77713694805063</v>
      </c>
      <c r="O3">
        <v>5.8640918603207099</v>
      </c>
      <c r="P3">
        <v>6.9763916724223201</v>
      </c>
      <c r="Q3">
        <v>4.9708209623674504</v>
      </c>
      <c r="R3">
        <v>6.1151592891937296</v>
      </c>
      <c r="S3">
        <v>8.0976992976769395</v>
      </c>
      <c r="T3">
        <v>4.5826487894790802</v>
      </c>
      <c r="U3">
        <v>51.416767924905301</v>
      </c>
      <c r="V3">
        <v>57.021565681949603</v>
      </c>
      <c r="W3">
        <v>45.179501078457101</v>
      </c>
      <c r="X3">
        <v>6.7532467532467502</v>
      </c>
    </row>
    <row r="4" spans="1:24" x14ac:dyDescent="0.25">
      <c r="A4">
        <v>11121</v>
      </c>
      <c r="B4" t="s">
        <v>75</v>
      </c>
      <c r="C4" s="11" t="s">
        <v>84</v>
      </c>
      <c r="D4" t="s">
        <v>76</v>
      </c>
      <c r="E4" t="s">
        <v>80</v>
      </c>
      <c r="F4" t="s">
        <v>78</v>
      </c>
      <c r="G4">
        <v>6.08695652173913E-2</v>
      </c>
      <c r="H4">
        <v>230</v>
      </c>
      <c r="I4">
        <v>7.0959245985415196</v>
      </c>
      <c r="J4">
        <v>12.3420293595633</v>
      </c>
      <c r="K4">
        <v>-2.7720366744509599</v>
      </c>
      <c r="L4">
        <v>-2.4693618087545</v>
      </c>
      <c r="M4">
        <v>-3.0870201787097198</v>
      </c>
      <c r="N4">
        <v>-2.77370117031789</v>
      </c>
      <c r="O4">
        <v>5.9002021630458596</v>
      </c>
      <c r="P4">
        <v>6.9392498816799302</v>
      </c>
      <c r="Q4">
        <v>4.9559525822537296</v>
      </c>
      <c r="R4">
        <v>5.9710291267268003</v>
      </c>
      <c r="S4">
        <v>7.9688827010330296</v>
      </c>
      <c r="T4">
        <v>4.4864360047921998</v>
      </c>
      <c r="U4">
        <v>50.320223696268798</v>
      </c>
      <c r="V4">
        <v>57.172795876432197</v>
      </c>
      <c r="W4">
        <v>43.427762668427697</v>
      </c>
      <c r="X4">
        <v>6.0869565217391299</v>
      </c>
    </row>
    <row r="5" spans="1:24" x14ac:dyDescent="0.25">
      <c r="A5">
        <v>11122</v>
      </c>
      <c r="B5" t="s">
        <v>75</v>
      </c>
      <c r="C5" s="11" t="s">
        <v>84</v>
      </c>
      <c r="D5" t="s">
        <v>76</v>
      </c>
      <c r="E5" t="s">
        <v>80</v>
      </c>
      <c r="F5" t="s">
        <v>79</v>
      </c>
      <c r="G5">
        <v>8.7885985748218501E-2</v>
      </c>
      <c r="H5">
        <v>421</v>
      </c>
      <c r="I5">
        <v>9.0963686841777704</v>
      </c>
      <c r="J5">
        <v>12.3420293595633</v>
      </c>
      <c r="K5">
        <v>-2.4160956538572398</v>
      </c>
      <c r="L5">
        <v>-2.1288399496389898</v>
      </c>
      <c r="M5">
        <v>-2.7076803962965998</v>
      </c>
      <c r="N5">
        <v>-2.47710326881765</v>
      </c>
      <c r="O5">
        <v>7.7463363085261898</v>
      </c>
      <c r="P5">
        <v>8.9759313413548405</v>
      </c>
      <c r="Q5">
        <v>6.57585329027446</v>
      </c>
      <c r="R5">
        <v>8.1335568847233706</v>
      </c>
      <c r="S5">
        <v>10.8083775328068</v>
      </c>
      <c r="T5">
        <v>6.22366873750022</v>
      </c>
      <c r="U5">
        <v>51.394885505778397</v>
      </c>
      <c r="V5">
        <v>56.985938313181599</v>
      </c>
      <c r="W5">
        <v>46.106181615937899</v>
      </c>
      <c r="X5">
        <v>8.7885985748218491</v>
      </c>
    </row>
    <row r="6" spans="1:24" x14ac:dyDescent="0.25">
      <c r="A6">
        <v>11131</v>
      </c>
      <c r="B6" t="s">
        <v>75</v>
      </c>
      <c r="C6" s="11" t="s">
        <v>84</v>
      </c>
      <c r="D6" t="s">
        <v>76</v>
      </c>
      <c r="E6" t="s">
        <v>81</v>
      </c>
      <c r="F6" t="s">
        <v>78</v>
      </c>
      <c r="G6">
        <v>8.1395348837209294E-2</v>
      </c>
      <c r="H6">
        <v>430</v>
      </c>
      <c r="I6">
        <v>8.5058083178646395</v>
      </c>
      <c r="J6">
        <v>12.3420293595633</v>
      </c>
      <c r="K6">
        <v>-2.6277572864982899</v>
      </c>
      <c r="L6">
        <v>-2.3293760943210402</v>
      </c>
      <c r="M6">
        <v>-2.8991941675669701</v>
      </c>
      <c r="N6">
        <v>-2.7627454164082001</v>
      </c>
      <c r="O6">
        <v>5.9461920373954902</v>
      </c>
      <c r="P6">
        <v>6.9172604966689502</v>
      </c>
      <c r="Q6">
        <v>5.0666440720552002</v>
      </c>
      <c r="R6">
        <v>6.7592383484814196</v>
      </c>
      <c r="S6">
        <v>9.0017209912233902</v>
      </c>
      <c r="T6">
        <v>5.0848669272600002</v>
      </c>
      <c r="U6">
        <v>53.338518900733099</v>
      </c>
      <c r="V6">
        <v>59.403261441840002</v>
      </c>
      <c r="W6">
        <v>47.6245943571056</v>
      </c>
      <c r="X6">
        <v>8.1395348837209305</v>
      </c>
    </row>
    <row r="7" spans="1:24" x14ac:dyDescent="0.25">
      <c r="A7">
        <v>11132</v>
      </c>
      <c r="B7" t="s">
        <v>75</v>
      </c>
      <c r="C7" s="11" t="s">
        <v>84</v>
      </c>
      <c r="D7" t="s">
        <v>76</v>
      </c>
      <c r="E7" t="s">
        <v>81</v>
      </c>
      <c r="F7" t="s">
        <v>79</v>
      </c>
      <c r="G7">
        <v>8.2080924855491302E-2</v>
      </c>
      <c r="H7">
        <v>865</v>
      </c>
      <c r="I7">
        <v>8.3963750153932999</v>
      </c>
      <c r="J7">
        <v>12.3420293595633</v>
      </c>
      <c r="K7">
        <v>-2.4378812879339802</v>
      </c>
      <c r="L7">
        <v>-2.1670318385207898</v>
      </c>
      <c r="M7">
        <v>-2.7041679801843901</v>
      </c>
      <c r="N7">
        <v>-2.4661475149079499</v>
      </c>
      <c r="O7">
        <v>7.8306879846339799</v>
      </c>
      <c r="P7">
        <v>8.9846939715984995</v>
      </c>
      <c r="Q7">
        <v>6.7707998037172299</v>
      </c>
      <c r="R7">
        <v>8.0749811936630707</v>
      </c>
      <c r="S7">
        <v>9.9937365561684501</v>
      </c>
      <c r="T7">
        <v>6.3677569542508996</v>
      </c>
      <c r="U7">
        <v>50.884172203839803</v>
      </c>
      <c r="V7">
        <v>55.578566221150098</v>
      </c>
      <c r="W7">
        <v>46.031790812148898</v>
      </c>
      <c r="X7">
        <v>8.2080924855491304</v>
      </c>
    </row>
    <row r="8" spans="1:24" x14ac:dyDescent="0.25">
      <c r="A8">
        <v>11211</v>
      </c>
      <c r="B8" t="s">
        <v>75</v>
      </c>
      <c r="C8" s="11" t="s">
        <v>84</v>
      </c>
      <c r="D8" t="s">
        <v>82</v>
      </c>
      <c r="E8" t="s">
        <v>77</v>
      </c>
      <c r="F8" t="s">
        <v>78</v>
      </c>
      <c r="G8">
        <v>9.375E-2</v>
      </c>
      <c r="H8">
        <v>256</v>
      </c>
      <c r="I8">
        <v>9.7650590278374008</v>
      </c>
      <c r="J8">
        <v>12.3420293595633</v>
      </c>
      <c r="K8">
        <v>-2.4998552551653201</v>
      </c>
      <c r="L8">
        <v>-2.2031986348061299</v>
      </c>
      <c r="M8">
        <v>-2.7925522026094498</v>
      </c>
      <c r="N8">
        <v>-2.5994561935027298</v>
      </c>
      <c r="O8">
        <v>6.9478120292489596</v>
      </c>
      <c r="P8">
        <v>8.3227562230244807</v>
      </c>
      <c r="Q8">
        <v>5.8718072277307796</v>
      </c>
      <c r="R8">
        <v>7.5959291289163797</v>
      </c>
      <c r="S8">
        <v>10.0442939790848</v>
      </c>
      <c r="T8">
        <v>5.7287424974518801</v>
      </c>
      <c r="U8">
        <v>52.6104043522162</v>
      </c>
      <c r="V8">
        <v>58.291874713700203</v>
      </c>
      <c r="W8">
        <v>46.644172967796102</v>
      </c>
      <c r="X8">
        <v>9.375</v>
      </c>
    </row>
    <row r="9" spans="1:24" x14ac:dyDescent="0.25">
      <c r="A9">
        <v>11212</v>
      </c>
      <c r="B9" t="s">
        <v>75</v>
      </c>
      <c r="C9" s="11" t="s">
        <v>84</v>
      </c>
      <c r="D9" t="s">
        <v>82</v>
      </c>
      <c r="E9" t="s">
        <v>77</v>
      </c>
      <c r="F9" t="s">
        <v>79</v>
      </c>
      <c r="G9">
        <v>9.0239410681399596E-2</v>
      </c>
      <c r="H9">
        <v>543</v>
      </c>
      <c r="I9">
        <v>9.2497019668321805</v>
      </c>
      <c r="J9">
        <v>12.3420293595633</v>
      </c>
      <c r="K9">
        <v>-2.3120685960388201</v>
      </c>
      <c r="L9">
        <v>-2.0553599886465799</v>
      </c>
      <c r="M9">
        <v>-2.58439724483374</v>
      </c>
      <c r="N9">
        <v>-2.3028582920024898</v>
      </c>
      <c r="O9">
        <v>9.1255287150938802</v>
      </c>
      <c r="P9">
        <v>10.6621892874391</v>
      </c>
      <c r="Q9">
        <v>7.80828807124779</v>
      </c>
      <c r="R9">
        <v>8.9604371727646601</v>
      </c>
      <c r="S9">
        <v>11.356968164595401</v>
      </c>
      <c r="T9">
        <v>7.0153878583028204</v>
      </c>
      <c r="U9">
        <v>49.928361004752901</v>
      </c>
      <c r="V9">
        <v>54.838483503598901</v>
      </c>
      <c r="W9">
        <v>44.369443955261403</v>
      </c>
      <c r="X9">
        <v>9.0239410681399601</v>
      </c>
    </row>
    <row r="10" spans="1:24" x14ac:dyDescent="0.25">
      <c r="A10">
        <v>11221</v>
      </c>
      <c r="B10" t="s">
        <v>75</v>
      </c>
      <c r="C10" s="11" t="s">
        <v>84</v>
      </c>
      <c r="D10" t="s">
        <v>82</v>
      </c>
      <c r="E10" t="s">
        <v>80</v>
      </c>
      <c r="F10" t="s">
        <v>78</v>
      </c>
      <c r="G10">
        <v>0.11267605633802801</v>
      </c>
      <c r="H10">
        <v>355</v>
      </c>
      <c r="I10">
        <v>11.367349843666901</v>
      </c>
      <c r="J10">
        <v>12.3420293595633</v>
      </c>
      <c r="K10">
        <v>-2.19972580644203</v>
      </c>
      <c r="L10">
        <v>-1.9276854930896901</v>
      </c>
      <c r="M10">
        <v>-2.4770334667780798</v>
      </c>
      <c r="N10">
        <v>-2.2994225142697502</v>
      </c>
      <c r="O10">
        <v>9.0967646746189494</v>
      </c>
      <c r="P10">
        <v>10.6584508546786</v>
      </c>
      <c r="Q10">
        <v>7.8204426944098104</v>
      </c>
      <c r="R10">
        <v>10.064695288574899</v>
      </c>
      <c r="S10">
        <v>12.725664474636</v>
      </c>
      <c r="T10">
        <v>7.7793527054069296</v>
      </c>
      <c r="U10">
        <v>52.414988965483403</v>
      </c>
      <c r="V10">
        <v>58.337510244305001</v>
      </c>
      <c r="W10">
        <v>46.602583834175697</v>
      </c>
      <c r="X10">
        <v>11.2676056338028</v>
      </c>
    </row>
    <row r="11" spans="1:24" x14ac:dyDescent="0.25">
      <c r="A11">
        <v>11222</v>
      </c>
      <c r="B11" t="s">
        <v>75</v>
      </c>
      <c r="C11" s="11" t="s">
        <v>84</v>
      </c>
      <c r="D11" t="s">
        <v>82</v>
      </c>
      <c r="E11" t="s">
        <v>80</v>
      </c>
      <c r="F11" t="s">
        <v>79</v>
      </c>
      <c r="G11">
        <v>0.12422360248447201</v>
      </c>
      <c r="H11">
        <v>644</v>
      </c>
      <c r="I11">
        <v>12.4182218970404</v>
      </c>
      <c r="J11">
        <v>12.3420293595633</v>
      </c>
      <c r="K11">
        <v>-1.9714039627786399</v>
      </c>
      <c r="L11">
        <v>-1.7512466921602601</v>
      </c>
      <c r="M11">
        <v>-2.1998357864877001</v>
      </c>
      <c r="N11">
        <v>-2.0028246127695102</v>
      </c>
      <c r="O11">
        <v>11.8813450987076</v>
      </c>
      <c r="P11">
        <v>13.7136999615786</v>
      </c>
      <c r="Q11">
        <v>10.201066276758</v>
      </c>
      <c r="R11">
        <v>12.177330326222</v>
      </c>
      <c r="S11">
        <v>14.8687010845426</v>
      </c>
      <c r="T11">
        <v>9.7934526986001096</v>
      </c>
      <c r="U11">
        <v>50.776654342692296</v>
      </c>
      <c r="V11">
        <v>55.099627562050202</v>
      </c>
      <c r="W11">
        <v>46.245098420137097</v>
      </c>
      <c r="X11">
        <v>12.4223602484472</v>
      </c>
    </row>
    <row r="12" spans="1:24" x14ac:dyDescent="0.25">
      <c r="A12">
        <v>11231</v>
      </c>
      <c r="B12" t="s">
        <v>75</v>
      </c>
      <c r="C12" s="11" t="s">
        <v>84</v>
      </c>
      <c r="D12" t="s">
        <v>82</v>
      </c>
      <c r="E12" t="s">
        <v>81</v>
      </c>
      <c r="F12" t="s">
        <v>78</v>
      </c>
      <c r="G12">
        <v>0.125</v>
      </c>
      <c r="H12">
        <v>528</v>
      </c>
      <c r="I12">
        <v>12.4902079569913</v>
      </c>
      <c r="J12">
        <v>12.3420293595633</v>
      </c>
      <c r="K12">
        <v>-2.1039797207864299</v>
      </c>
      <c r="L12">
        <v>-1.8622340630563401</v>
      </c>
      <c r="M12">
        <v>-2.3690030498929602</v>
      </c>
      <c r="N12">
        <v>-2.2884667603600599</v>
      </c>
      <c r="O12">
        <v>9.2391218134955597</v>
      </c>
      <c r="P12">
        <v>10.7020267556743</v>
      </c>
      <c r="Q12">
        <v>7.9713197823373099</v>
      </c>
      <c r="R12">
        <v>10.8319878717219</v>
      </c>
      <c r="S12">
        <v>13.4889469120456</v>
      </c>
      <c r="T12">
        <v>8.6254236012688708</v>
      </c>
      <c r="U12">
        <v>54.573954821648002</v>
      </c>
      <c r="V12">
        <v>59.655407032491198</v>
      </c>
      <c r="W12">
        <v>49.839020858458198</v>
      </c>
      <c r="X12">
        <v>12.5</v>
      </c>
    </row>
    <row r="13" spans="1:24" x14ac:dyDescent="0.25">
      <c r="A13">
        <v>11232</v>
      </c>
      <c r="B13" t="s">
        <v>75</v>
      </c>
      <c r="C13" s="11" t="s">
        <v>84</v>
      </c>
      <c r="D13" t="s">
        <v>82</v>
      </c>
      <c r="E13" t="s">
        <v>81</v>
      </c>
      <c r="F13" t="s">
        <v>79</v>
      </c>
      <c r="G13">
        <v>0.11744966442953</v>
      </c>
      <c r="H13">
        <v>894</v>
      </c>
      <c r="I13">
        <v>11.7679519717191</v>
      </c>
      <c r="J13">
        <v>12.3420293595633</v>
      </c>
      <c r="K13">
        <v>-2.0037576266305099</v>
      </c>
      <c r="L13">
        <v>-1.77901056814128</v>
      </c>
      <c r="M13">
        <v>-2.2363914282125799</v>
      </c>
      <c r="N13">
        <v>-1.9918688588598099</v>
      </c>
      <c r="O13">
        <v>12.0073378561643</v>
      </c>
      <c r="P13">
        <v>13.7551570879293</v>
      </c>
      <c r="Q13">
        <v>10.4122986138042</v>
      </c>
      <c r="R13">
        <v>11.772441036538201</v>
      </c>
      <c r="S13">
        <v>14.1531897050819</v>
      </c>
      <c r="T13">
        <v>9.6714068053119409</v>
      </c>
      <c r="U13">
        <v>49.3579809354869</v>
      </c>
      <c r="V13">
        <v>53.545109364556303</v>
      </c>
      <c r="W13">
        <v>45.724425568699701</v>
      </c>
      <c r="X13">
        <v>11.744966442953</v>
      </c>
    </row>
    <row r="14" spans="1:24" x14ac:dyDescent="0.25">
      <c r="A14">
        <v>12111</v>
      </c>
      <c r="B14" t="s">
        <v>75</v>
      </c>
      <c r="C14" s="11" t="s">
        <v>85</v>
      </c>
      <c r="D14" t="s">
        <v>76</v>
      </c>
      <c r="E14" t="s">
        <v>77</v>
      </c>
      <c r="F14" t="s">
        <v>78</v>
      </c>
      <c r="G14">
        <v>3.3707865168539297E-2</v>
      </c>
      <c r="H14">
        <v>89</v>
      </c>
      <c r="I14">
        <v>6.42930028316965</v>
      </c>
      <c r="J14">
        <v>12.3420293595633</v>
      </c>
      <c r="K14">
        <v>-2.73569812977445</v>
      </c>
      <c r="L14">
        <v>-2.3746306190405502</v>
      </c>
      <c r="M14">
        <v>-3.0957129865742798</v>
      </c>
      <c r="N14">
        <v>-2.6903171737581699</v>
      </c>
      <c r="O14">
        <v>6.37503144314935</v>
      </c>
      <c r="P14">
        <v>7.6607020257200702</v>
      </c>
      <c r="Q14">
        <v>5.32371897190444</v>
      </c>
      <c r="R14">
        <v>6.0761577994984401</v>
      </c>
      <c r="S14">
        <v>8.2953034309326608</v>
      </c>
      <c r="T14">
        <v>4.49348636403389</v>
      </c>
      <c r="U14">
        <v>48.627752573473501</v>
      </c>
      <c r="V14">
        <v>55.5094458785887</v>
      </c>
      <c r="W14">
        <v>41.827315356929603</v>
      </c>
      <c r="X14">
        <v>3.3707865168539302</v>
      </c>
    </row>
    <row r="15" spans="1:24" x14ac:dyDescent="0.25">
      <c r="A15">
        <v>12112</v>
      </c>
      <c r="B15" t="s">
        <v>75</v>
      </c>
      <c r="C15" s="11" t="s">
        <v>85</v>
      </c>
      <c r="D15" t="s">
        <v>76</v>
      </c>
      <c r="E15" t="s">
        <v>77</v>
      </c>
      <c r="F15" t="s">
        <v>79</v>
      </c>
      <c r="G15">
        <v>0.1</v>
      </c>
      <c r="H15">
        <v>270</v>
      </c>
      <c r="I15">
        <v>10.2883088299281</v>
      </c>
      <c r="J15">
        <v>12.3420293595633</v>
      </c>
      <c r="K15">
        <v>-2.33050570600764</v>
      </c>
      <c r="L15">
        <v>-2.0453174435078401</v>
      </c>
      <c r="M15">
        <v>-2.6217554165492301</v>
      </c>
      <c r="N15">
        <v>-2.3937192722579299</v>
      </c>
      <c r="O15">
        <v>8.3740759438206602</v>
      </c>
      <c r="P15">
        <v>9.8269021175390705</v>
      </c>
      <c r="Q15">
        <v>7.12898616248183</v>
      </c>
      <c r="R15">
        <v>8.8794125501062098</v>
      </c>
      <c r="S15">
        <v>11.2813643641095</v>
      </c>
      <c r="T15">
        <v>6.6929819381348699</v>
      </c>
      <c r="U15">
        <v>51.669137549596797</v>
      </c>
      <c r="V15">
        <v>57.772494403347899</v>
      </c>
      <c r="W15">
        <v>45.587311289454099</v>
      </c>
      <c r="X15">
        <v>10</v>
      </c>
    </row>
    <row r="16" spans="1:24" x14ac:dyDescent="0.25">
      <c r="A16">
        <v>12121</v>
      </c>
      <c r="B16" t="s">
        <v>75</v>
      </c>
      <c r="C16" s="11" t="s">
        <v>85</v>
      </c>
      <c r="D16" t="s">
        <v>76</v>
      </c>
      <c r="E16" t="s">
        <v>80</v>
      </c>
      <c r="F16" t="s">
        <v>78</v>
      </c>
      <c r="G16">
        <v>7.8787878787878796E-2</v>
      </c>
      <c r="H16">
        <v>165</v>
      </c>
      <c r="I16">
        <v>8.7593841619007602</v>
      </c>
      <c r="J16">
        <v>12.3420293595633</v>
      </c>
      <c r="K16">
        <v>-2.4063562094978899</v>
      </c>
      <c r="L16">
        <v>-2.0735677088158799</v>
      </c>
      <c r="M16">
        <v>-2.7271909638005098</v>
      </c>
      <c r="N16">
        <v>-2.3902834945251898</v>
      </c>
      <c r="O16">
        <v>8.3878529079117392</v>
      </c>
      <c r="P16">
        <v>9.8110934312396001</v>
      </c>
      <c r="Q16">
        <v>7.1763309758664002</v>
      </c>
      <c r="R16">
        <v>8.3421943277378805</v>
      </c>
      <c r="S16">
        <v>10.8521420364306</v>
      </c>
      <c r="T16">
        <v>6.1970697052558599</v>
      </c>
      <c r="U16">
        <v>49.500956746407297</v>
      </c>
      <c r="V16">
        <v>55.780023913096798</v>
      </c>
      <c r="W16">
        <v>43.6174157074826</v>
      </c>
      <c r="X16">
        <v>7.8787878787878798</v>
      </c>
    </row>
    <row r="17" spans="1:24" x14ac:dyDescent="0.25">
      <c r="A17">
        <v>12122</v>
      </c>
      <c r="B17" t="s">
        <v>75</v>
      </c>
      <c r="C17" s="11" t="s">
        <v>85</v>
      </c>
      <c r="D17" t="s">
        <v>76</v>
      </c>
      <c r="E17" t="s">
        <v>80</v>
      </c>
      <c r="F17" t="s">
        <v>79</v>
      </c>
      <c r="G17">
        <v>0.13467048710601701</v>
      </c>
      <c r="H17">
        <v>349</v>
      </c>
      <c r="I17">
        <v>13.3674825737315</v>
      </c>
      <c r="J17">
        <v>12.3420293595633</v>
      </c>
      <c r="K17">
        <v>-1.98362322565802</v>
      </c>
      <c r="L17">
        <v>-1.7190490262859399</v>
      </c>
      <c r="M17">
        <v>-2.2372846166367499</v>
      </c>
      <c r="N17">
        <v>-2.0936855930249498</v>
      </c>
      <c r="O17">
        <v>10.949885847420299</v>
      </c>
      <c r="P17">
        <v>12.7163193794264</v>
      </c>
      <c r="Q17">
        <v>9.4333058360428197</v>
      </c>
      <c r="R17">
        <v>12.055115147602001</v>
      </c>
      <c r="S17">
        <v>15.298309824499301</v>
      </c>
      <c r="T17">
        <v>9.4925949030283494</v>
      </c>
      <c r="U17">
        <v>52.833488512087101</v>
      </c>
      <c r="V17">
        <v>57.8590751459828</v>
      </c>
      <c r="W17">
        <v>47.0664912578467</v>
      </c>
      <c r="X17">
        <v>13.4670487106017</v>
      </c>
    </row>
    <row r="18" spans="1:24" x14ac:dyDescent="0.25">
      <c r="A18">
        <v>12131</v>
      </c>
      <c r="B18" t="s">
        <v>75</v>
      </c>
      <c r="C18" s="11" t="s">
        <v>85</v>
      </c>
      <c r="D18" t="s">
        <v>76</v>
      </c>
      <c r="E18" t="s">
        <v>81</v>
      </c>
      <c r="F18" t="s">
        <v>78</v>
      </c>
      <c r="G18">
        <v>5.7324840764331197E-2</v>
      </c>
      <c r="H18">
        <v>314</v>
      </c>
      <c r="I18">
        <v>6.5711785288931797</v>
      </c>
      <c r="J18">
        <v>12.3420293595633</v>
      </c>
      <c r="K18">
        <v>-2.5017744448818999</v>
      </c>
      <c r="L18">
        <v>-2.2039461285016499</v>
      </c>
      <c r="M18">
        <v>-2.79477545500183</v>
      </c>
      <c r="N18">
        <v>-2.3793277406155</v>
      </c>
      <c r="O18">
        <v>8.5255799315793404</v>
      </c>
      <c r="P18">
        <v>9.8399564554667105</v>
      </c>
      <c r="Q18">
        <v>7.2574664452996798</v>
      </c>
      <c r="R18">
        <v>7.5126903515336503</v>
      </c>
      <c r="S18">
        <v>9.9933387459880798</v>
      </c>
      <c r="T18">
        <v>5.7796929417693299</v>
      </c>
      <c r="U18">
        <v>46.7818722021768</v>
      </c>
      <c r="V18">
        <v>52.807371412944399</v>
      </c>
      <c r="W18">
        <v>41.0015030246023</v>
      </c>
      <c r="X18">
        <v>5.7324840764331197</v>
      </c>
    </row>
    <row r="19" spans="1:24" x14ac:dyDescent="0.25">
      <c r="A19">
        <v>12132</v>
      </c>
      <c r="B19" t="s">
        <v>75</v>
      </c>
      <c r="C19" s="11" t="s">
        <v>85</v>
      </c>
      <c r="D19" t="s">
        <v>76</v>
      </c>
      <c r="E19" t="s">
        <v>81</v>
      </c>
      <c r="F19" t="s">
        <v>79</v>
      </c>
      <c r="G19">
        <v>0.101949025487256</v>
      </c>
      <c r="H19">
        <v>667</v>
      </c>
      <c r="I19">
        <v>10.310257782631201</v>
      </c>
      <c r="J19">
        <v>12.3420293595633</v>
      </c>
      <c r="K19">
        <v>-2.1368786389174899</v>
      </c>
      <c r="L19">
        <v>-1.87917909462699</v>
      </c>
      <c r="M19">
        <v>-2.3844979534211799</v>
      </c>
      <c r="N19">
        <v>-2.0827298391152498</v>
      </c>
      <c r="O19">
        <v>11.0892737130998</v>
      </c>
      <c r="P19">
        <v>12.5485735720147</v>
      </c>
      <c r="Q19">
        <v>9.6647376694706804</v>
      </c>
      <c r="R19">
        <v>10.5713618737157</v>
      </c>
      <c r="S19">
        <v>13.005054411962</v>
      </c>
      <c r="T19">
        <v>8.3419848942977293</v>
      </c>
      <c r="U19">
        <v>48.5517859044106</v>
      </c>
      <c r="V19">
        <v>53.335193646228902</v>
      </c>
      <c r="W19">
        <v>44.048522388735698</v>
      </c>
      <c r="X19">
        <v>10.194902548725601</v>
      </c>
    </row>
    <row r="20" spans="1:24" x14ac:dyDescent="0.25">
      <c r="A20">
        <v>12211</v>
      </c>
      <c r="B20" t="s">
        <v>75</v>
      </c>
      <c r="C20" s="11" t="s">
        <v>85</v>
      </c>
      <c r="D20" t="s">
        <v>82</v>
      </c>
      <c r="E20" t="s">
        <v>77</v>
      </c>
      <c r="F20" t="s">
        <v>78</v>
      </c>
      <c r="G20">
        <v>6.9651741293532299E-2</v>
      </c>
      <c r="H20">
        <v>201</v>
      </c>
      <c r="I20">
        <v>7.9005374475014101</v>
      </c>
      <c r="J20">
        <v>12.3420293595633</v>
      </c>
      <c r="K20">
        <v>-2.3184745544384802</v>
      </c>
      <c r="L20">
        <v>-2.0044271175788899</v>
      </c>
      <c r="M20">
        <v>-2.6123696120863902</v>
      </c>
      <c r="N20">
        <v>-2.2160385177100301</v>
      </c>
      <c r="O20">
        <v>9.8644194210176703</v>
      </c>
      <c r="P20">
        <v>11.7162773325089</v>
      </c>
      <c r="Q20">
        <v>8.4229490612400806</v>
      </c>
      <c r="R20">
        <v>9.0026097924446997</v>
      </c>
      <c r="S20">
        <v>11.956881570547999</v>
      </c>
      <c r="T20">
        <v>6.9238391278309104</v>
      </c>
      <c r="U20">
        <v>47.527092574701598</v>
      </c>
      <c r="V20">
        <v>53.224084234843502</v>
      </c>
      <c r="W20">
        <v>41.146270958212099</v>
      </c>
      <c r="X20">
        <v>6.9651741293532297</v>
      </c>
    </row>
    <row r="21" spans="1:24" x14ac:dyDescent="0.25">
      <c r="A21">
        <v>12212</v>
      </c>
      <c r="B21" t="s">
        <v>75</v>
      </c>
      <c r="C21" s="11" t="s">
        <v>85</v>
      </c>
      <c r="D21" t="s">
        <v>82</v>
      </c>
      <c r="E21" t="s">
        <v>77</v>
      </c>
      <c r="F21" t="s">
        <v>79</v>
      </c>
      <c r="G21">
        <v>9.7613882863340606E-2</v>
      </c>
      <c r="H21">
        <v>461</v>
      </c>
      <c r="I21">
        <v>9.9599495541208505</v>
      </c>
      <c r="J21">
        <v>12.3420293595633</v>
      </c>
      <c r="K21">
        <v>-2.0613514821458399</v>
      </c>
      <c r="L21">
        <v>-1.8157147502748101</v>
      </c>
      <c r="M21">
        <v>-2.3248171983680099</v>
      </c>
      <c r="N21">
        <v>-1.9194406162097899</v>
      </c>
      <c r="O21">
        <v>12.8634790989968</v>
      </c>
      <c r="P21">
        <v>14.754749624307999</v>
      </c>
      <c r="Q21">
        <v>11.0052735617955</v>
      </c>
      <c r="R21">
        <v>11.1613634289751</v>
      </c>
      <c r="S21">
        <v>14.1705248370425</v>
      </c>
      <c r="T21">
        <v>8.9317107922024999</v>
      </c>
      <c r="U21">
        <v>46.407172238923501</v>
      </c>
      <c r="V21">
        <v>51.604498029908903</v>
      </c>
      <c r="W21">
        <v>41.318773464627299</v>
      </c>
      <c r="X21">
        <v>9.7613882863340606</v>
      </c>
    </row>
    <row r="22" spans="1:24" x14ac:dyDescent="0.25">
      <c r="A22">
        <v>12221</v>
      </c>
      <c r="B22" t="s">
        <v>75</v>
      </c>
      <c r="C22" s="11" t="s">
        <v>85</v>
      </c>
      <c r="D22" t="s">
        <v>82</v>
      </c>
      <c r="E22" t="s">
        <v>80</v>
      </c>
      <c r="F22" t="s">
        <v>78</v>
      </c>
      <c r="G22">
        <v>0.129277566539924</v>
      </c>
      <c r="H22">
        <v>263</v>
      </c>
      <c r="I22">
        <v>12.859907816011701</v>
      </c>
      <c r="J22">
        <v>12.3420293595633</v>
      </c>
      <c r="K22">
        <v>-1.9099064628406599</v>
      </c>
      <c r="L22">
        <v>-1.63532389989488</v>
      </c>
      <c r="M22">
        <v>-2.1975213741245501</v>
      </c>
      <c r="N22">
        <v>-1.9160048384770501</v>
      </c>
      <c r="O22">
        <v>12.844773147219</v>
      </c>
      <c r="P22">
        <v>14.842414821022</v>
      </c>
      <c r="Q22">
        <v>11.1238126633153</v>
      </c>
      <c r="R22">
        <v>12.942857034186</v>
      </c>
      <c r="S22">
        <v>16.7666505544728</v>
      </c>
      <c r="T22">
        <v>10.0906509914801</v>
      </c>
      <c r="U22">
        <v>50.005807865824202</v>
      </c>
      <c r="V22">
        <v>55.5660592899264</v>
      </c>
      <c r="W22">
        <v>44.643480634038298</v>
      </c>
      <c r="X22">
        <v>12.9277566539924</v>
      </c>
    </row>
    <row r="23" spans="1:24" x14ac:dyDescent="0.25">
      <c r="A23">
        <v>12222</v>
      </c>
      <c r="B23" t="s">
        <v>75</v>
      </c>
      <c r="C23" s="11" t="s">
        <v>85</v>
      </c>
      <c r="D23" t="s">
        <v>82</v>
      </c>
      <c r="E23" t="s">
        <v>80</v>
      </c>
      <c r="F23" t="s">
        <v>79</v>
      </c>
      <c r="G23">
        <v>0.128205128205128</v>
      </c>
      <c r="H23">
        <v>507</v>
      </c>
      <c r="I23">
        <v>12.7899967729381</v>
      </c>
      <c r="J23">
        <v>12.3420293595633</v>
      </c>
      <c r="K23">
        <v>-1.7851453485334099</v>
      </c>
      <c r="L23">
        <v>-1.5515400513696</v>
      </c>
      <c r="M23">
        <v>-2.0482806217951799</v>
      </c>
      <c r="N23">
        <v>-1.61940693697681</v>
      </c>
      <c r="O23">
        <v>16.542857300242598</v>
      </c>
      <c r="P23">
        <v>18.771560892006399</v>
      </c>
      <c r="Q23">
        <v>14.5671869405493</v>
      </c>
      <c r="R23">
        <v>14.320615880154101</v>
      </c>
      <c r="S23">
        <v>17.727090800282699</v>
      </c>
      <c r="T23">
        <v>11.383996273816599</v>
      </c>
      <c r="U23">
        <v>45.950495354387797</v>
      </c>
      <c r="V23">
        <v>50.414760422562502</v>
      </c>
      <c r="W23">
        <v>41.495433308328998</v>
      </c>
      <c r="X23">
        <v>12.8205128205128</v>
      </c>
    </row>
    <row r="24" spans="1:24" x14ac:dyDescent="0.25">
      <c r="A24">
        <v>12231</v>
      </c>
      <c r="B24" t="s">
        <v>75</v>
      </c>
      <c r="C24" s="11" t="s">
        <v>85</v>
      </c>
      <c r="D24" t="s">
        <v>82</v>
      </c>
      <c r="E24" t="s">
        <v>81</v>
      </c>
      <c r="F24" t="s">
        <v>78</v>
      </c>
      <c r="G24">
        <v>0.116207951070336</v>
      </c>
      <c r="H24">
        <v>327</v>
      </c>
      <c r="I24">
        <v>11.6921329086016</v>
      </c>
      <c r="J24">
        <v>12.3420293595633</v>
      </c>
      <c r="K24">
        <v>-1.95870005674215</v>
      </c>
      <c r="L24">
        <v>-1.680637308711</v>
      </c>
      <c r="M24">
        <v>-2.2141774492861601</v>
      </c>
      <c r="N24">
        <v>-1.90504908456736</v>
      </c>
      <c r="O24">
        <v>12.987547574066101</v>
      </c>
      <c r="P24">
        <v>14.9008903302952</v>
      </c>
      <c r="Q24">
        <v>11.2472181857739</v>
      </c>
      <c r="R24">
        <v>12.5027710014927</v>
      </c>
      <c r="S24">
        <v>15.7355760220899</v>
      </c>
      <c r="T24">
        <v>9.7219724653192596</v>
      </c>
      <c r="U24">
        <v>48.661568196531299</v>
      </c>
      <c r="V24">
        <v>54.084130543790998</v>
      </c>
      <c r="W24">
        <v>43.173966652673798</v>
      </c>
      <c r="X24">
        <v>11.620795107033601</v>
      </c>
    </row>
    <row r="25" spans="1:24" x14ac:dyDescent="0.25">
      <c r="A25">
        <v>12232</v>
      </c>
      <c r="B25" t="s">
        <v>75</v>
      </c>
      <c r="C25" s="11" t="s">
        <v>85</v>
      </c>
      <c r="D25" t="s">
        <v>82</v>
      </c>
      <c r="E25" t="s">
        <v>81</v>
      </c>
      <c r="F25" t="s">
        <v>79</v>
      </c>
      <c r="G25">
        <v>0.14583333333333301</v>
      </c>
      <c r="H25">
        <v>720</v>
      </c>
      <c r="I25">
        <v>14.4858813763278</v>
      </c>
      <c r="J25">
        <v>12.3420293595633</v>
      </c>
      <c r="K25">
        <v>-1.7114161130277299</v>
      </c>
      <c r="L25">
        <v>-1.4887376517667199</v>
      </c>
      <c r="M25">
        <v>-1.9632677805827801</v>
      </c>
      <c r="N25">
        <v>-1.60845118306711</v>
      </c>
      <c r="O25">
        <v>16.677509789281</v>
      </c>
      <c r="P25">
        <v>18.7927344640567</v>
      </c>
      <c r="Q25">
        <v>14.6276153025954</v>
      </c>
      <c r="R25">
        <v>15.2982730836521</v>
      </c>
      <c r="S25">
        <v>18.1885430737373</v>
      </c>
      <c r="T25">
        <v>12.4811583322881</v>
      </c>
      <c r="U25">
        <v>47.262736339878202</v>
      </c>
      <c r="V25">
        <v>51.779147111555602</v>
      </c>
      <c r="W25">
        <v>43.359836764981097</v>
      </c>
      <c r="X25">
        <v>14.5833333333333</v>
      </c>
    </row>
    <row r="26" spans="1:24" x14ac:dyDescent="0.25">
      <c r="A26">
        <v>21111</v>
      </c>
      <c r="B26" t="s">
        <v>83</v>
      </c>
      <c r="C26" s="11" t="s">
        <v>84</v>
      </c>
      <c r="D26" t="s">
        <v>76</v>
      </c>
      <c r="E26" t="s">
        <v>77</v>
      </c>
      <c r="F26" t="s">
        <v>78</v>
      </c>
      <c r="G26">
        <v>4.20168067226891E-2</v>
      </c>
      <c r="H26">
        <v>119</v>
      </c>
      <c r="I26">
        <v>6.46844983752794</v>
      </c>
      <c r="J26">
        <v>12.3420293595633</v>
      </c>
      <c r="K26">
        <v>-2.5228390911104901</v>
      </c>
      <c r="L26">
        <v>-2.1836399007338301</v>
      </c>
      <c r="M26">
        <v>-2.8468216543232501</v>
      </c>
      <c r="N26">
        <v>-2.4249973800419302</v>
      </c>
      <c r="O26">
        <v>8.1524370664486696</v>
      </c>
      <c r="P26">
        <v>9.6501318851196096</v>
      </c>
      <c r="Q26">
        <v>6.8775702806844903</v>
      </c>
      <c r="R26">
        <v>7.5069506722223602</v>
      </c>
      <c r="S26">
        <v>10.0347916014837</v>
      </c>
      <c r="T26">
        <v>5.5100218286526097</v>
      </c>
      <c r="U26">
        <v>47.9648602137094</v>
      </c>
      <c r="V26">
        <v>54.6577158443408</v>
      </c>
      <c r="W26">
        <v>41.921249187740401</v>
      </c>
      <c r="X26">
        <v>4.2016806722689104</v>
      </c>
    </row>
    <row r="27" spans="1:24" x14ac:dyDescent="0.25">
      <c r="A27">
        <v>21112</v>
      </c>
      <c r="B27" t="s">
        <v>83</v>
      </c>
      <c r="C27" s="11" t="s">
        <v>84</v>
      </c>
      <c r="D27" t="s">
        <v>76</v>
      </c>
      <c r="E27" t="s">
        <v>77</v>
      </c>
      <c r="F27" t="s">
        <v>79</v>
      </c>
      <c r="G27">
        <v>0.114457831325301</v>
      </c>
      <c r="H27">
        <v>332</v>
      </c>
      <c r="I27">
        <v>11.533688355668501</v>
      </c>
      <c r="J27">
        <v>12.3420293595633</v>
      </c>
      <c r="K27">
        <v>-2.1016395347744599</v>
      </c>
      <c r="L27">
        <v>-1.8008800141344701</v>
      </c>
      <c r="M27">
        <v>-2.35902169220976</v>
      </c>
      <c r="N27">
        <v>-2.1283994785416902</v>
      </c>
      <c r="O27">
        <v>10.6274304108692</v>
      </c>
      <c r="P27">
        <v>12.372138720515199</v>
      </c>
      <c r="Q27">
        <v>9.1342178356915404</v>
      </c>
      <c r="R27">
        <v>10.9283711474641</v>
      </c>
      <c r="S27">
        <v>13.7700413373798</v>
      </c>
      <c r="T27">
        <v>8.5482440003649405</v>
      </c>
      <c r="U27">
        <v>51.013119929128003</v>
      </c>
      <c r="V27">
        <v>56.407913586049702</v>
      </c>
      <c r="W27">
        <v>45.376107062285897</v>
      </c>
      <c r="X27">
        <v>11.445783132530099</v>
      </c>
    </row>
    <row r="28" spans="1:24" x14ac:dyDescent="0.25">
      <c r="A28">
        <v>21121</v>
      </c>
      <c r="B28" t="s">
        <v>83</v>
      </c>
      <c r="C28" s="11" t="s">
        <v>84</v>
      </c>
      <c r="D28" t="s">
        <v>76</v>
      </c>
      <c r="E28" t="s">
        <v>80</v>
      </c>
      <c r="F28" t="s">
        <v>78</v>
      </c>
      <c r="G28">
        <v>5.3140096618357502E-2</v>
      </c>
      <c r="H28">
        <v>207</v>
      </c>
      <c r="I28">
        <v>6.5827732664166403</v>
      </c>
      <c r="J28">
        <v>12.3420293595633</v>
      </c>
      <c r="K28">
        <v>-2.3029438553131398</v>
      </c>
      <c r="L28">
        <v>-2.0110423758275902</v>
      </c>
      <c r="M28">
        <v>-2.5931347838386598</v>
      </c>
      <c r="N28">
        <v>-2.1249637008089501</v>
      </c>
      <c r="O28">
        <v>10.6373756320199</v>
      </c>
      <c r="P28">
        <v>12.4571909160803</v>
      </c>
      <c r="Q28">
        <v>9.1506009696549295</v>
      </c>
      <c r="R28">
        <v>9.1476913497832104</v>
      </c>
      <c r="S28">
        <v>12.010229837415601</v>
      </c>
      <c r="T28">
        <v>6.9628918528327697</v>
      </c>
      <c r="U28">
        <v>45.668695491406297</v>
      </c>
      <c r="V28">
        <v>51.696117893836799</v>
      </c>
      <c r="W28">
        <v>39.616803996878502</v>
      </c>
      <c r="X28">
        <v>5.3140096618357502</v>
      </c>
    </row>
    <row r="29" spans="1:24" x14ac:dyDescent="0.25">
      <c r="A29">
        <v>21122</v>
      </c>
      <c r="B29" t="s">
        <v>83</v>
      </c>
      <c r="C29" s="11" t="s">
        <v>84</v>
      </c>
      <c r="D29" t="s">
        <v>76</v>
      </c>
      <c r="E29" t="s">
        <v>80</v>
      </c>
      <c r="F29" t="s">
        <v>79</v>
      </c>
      <c r="G29">
        <v>0.118025751072961</v>
      </c>
      <c r="H29">
        <v>466</v>
      </c>
      <c r="I29">
        <v>11.8409618669985</v>
      </c>
      <c r="J29">
        <v>12.3420293595633</v>
      </c>
      <c r="K29">
        <v>-1.9242411523876699</v>
      </c>
      <c r="L29">
        <v>-1.65408497660401</v>
      </c>
      <c r="M29">
        <v>-2.1758709486037402</v>
      </c>
      <c r="N29">
        <v>-1.8283657993087099</v>
      </c>
      <c r="O29">
        <v>13.805342323025201</v>
      </c>
      <c r="P29">
        <v>15.8849478856489</v>
      </c>
      <c r="Q29">
        <v>12.0700839547138</v>
      </c>
      <c r="R29">
        <v>12.8262161488007</v>
      </c>
      <c r="S29">
        <v>15.814169811264</v>
      </c>
      <c r="T29">
        <v>10.169915840116101</v>
      </c>
      <c r="U29">
        <v>47.5047688847567</v>
      </c>
      <c r="V29">
        <v>52.354452496049902</v>
      </c>
      <c r="W29">
        <v>42.5146573169745</v>
      </c>
      <c r="X29">
        <v>11.8025751072961</v>
      </c>
    </row>
    <row r="30" spans="1:24" x14ac:dyDescent="0.25">
      <c r="A30">
        <v>21131</v>
      </c>
      <c r="B30" t="s">
        <v>83</v>
      </c>
      <c r="C30" s="11" t="s">
        <v>84</v>
      </c>
      <c r="D30" t="s">
        <v>76</v>
      </c>
      <c r="E30" t="s">
        <v>81</v>
      </c>
      <c r="F30" t="s">
        <v>78</v>
      </c>
      <c r="G30">
        <v>0.10189573459715601</v>
      </c>
      <c r="H30">
        <v>422</v>
      </c>
      <c r="I30">
        <v>10.366449877373899</v>
      </c>
      <c r="J30">
        <v>12.3420293595633</v>
      </c>
      <c r="K30">
        <v>-2.14838050981805</v>
      </c>
      <c r="L30">
        <v>-1.86918970851802</v>
      </c>
      <c r="M30">
        <v>-2.43042578192932</v>
      </c>
      <c r="N30">
        <v>-2.1140079468992501</v>
      </c>
      <c r="O30">
        <v>10.778231030657601</v>
      </c>
      <c r="P30">
        <v>12.5001503805372</v>
      </c>
      <c r="Q30">
        <v>9.2869357631578406</v>
      </c>
      <c r="R30">
        <v>10.522096955016</v>
      </c>
      <c r="S30">
        <v>13.3985907814199</v>
      </c>
      <c r="T30">
        <v>8.2140977107947801</v>
      </c>
      <c r="U30">
        <v>49.239905335726498</v>
      </c>
      <c r="V30">
        <v>54.755771409271098</v>
      </c>
      <c r="W30">
        <v>44.261923109175001</v>
      </c>
      <c r="X30">
        <v>10.1895734597156</v>
      </c>
    </row>
    <row r="31" spans="1:24" x14ac:dyDescent="0.25">
      <c r="A31">
        <v>21132</v>
      </c>
      <c r="B31" t="s">
        <v>83</v>
      </c>
      <c r="C31" s="11" t="s">
        <v>84</v>
      </c>
      <c r="D31" t="s">
        <v>76</v>
      </c>
      <c r="E31" t="s">
        <v>81</v>
      </c>
      <c r="F31" t="s">
        <v>79</v>
      </c>
      <c r="G31">
        <v>0.106002554278416</v>
      </c>
      <c r="H31">
        <v>783</v>
      </c>
      <c r="I31">
        <v>10.679472536085299</v>
      </c>
      <c r="J31">
        <v>12.3420293595633</v>
      </c>
      <c r="K31">
        <v>-2.0131433231167302</v>
      </c>
      <c r="L31">
        <v>-1.78645988143824</v>
      </c>
      <c r="M31">
        <v>-2.25420582791021</v>
      </c>
      <c r="N31">
        <v>-1.8174100453990101</v>
      </c>
      <c r="O31">
        <v>13.9556767241884</v>
      </c>
      <c r="P31">
        <v>15.857088628320099</v>
      </c>
      <c r="Q31">
        <v>12.2377118777429</v>
      </c>
      <c r="R31">
        <v>11.6516869637938</v>
      </c>
      <c r="S31">
        <v>14.153636508708599</v>
      </c>
      <c r="T31">
        <v>9.4586856962573993</v>
      </c>
      <c r="U31">
        <v>45.109042496707701</v>
      </c>
      <c r="V31">
        <v>49.6451886181801</v>
      </c>
      <c r="W31">
        <v>40.843859607487602</v>
      </c>
      <c r="X31">
        <v>10.600255427841599</v>
      </c>
    </row>
    <row r="32" spans="1:24" x14ac:dyDescent="0.25">
      <c r="A32">
        <v>21211</v>
      </c>
      <c r="B32" t="s">
        <v>83</v>
      </c>
      <c r="C32" s="11" t="s">
        <v>84</v>
      </c>
      <c r="D32" t="s">
        <v>82</v>
      </c>
      <c r="E32" t="s">
        <v>77</v>
      </c>
      <c r="F32" t="s">
        <v>78</v>
      </c>
      <c r="G32">
        <v>9.1703056768558999E-2</v>
      </c>
      <c r="H32">
        <v>229</v>
      </c>
      <c r="I32">
        <v>9.6316031272157794</v>
      </c>
      <c r="J32">
        <v>12.3420293595633</v>
      </c>
      <c r="K32">
        <v>-2.07144700535197</v>
      </c>
      <c r="L32">
        <v>-1.7715379991861699</v>
      </c>
      <c r="M32">
        <v>-2.3714253020261502</v>
      </c>
      <c r="N32">
        <v>-1.95071872399379</v>
      </c>
      <c r="O32">
        <v>12.457586721998</v>
      </c>
      <c r="P32">
        <v>14.650594580127001</v>
      </c>
      <c r="Q32">
        <v>10.656210446069</v>
      </c>
      <c r="R32">
        <v>11.375935710908101</v>
      </c>
      <c r="S32">
        <v>14.626268440283599</v>
      </c>
      <c r="T32">
        <v>8.7050576929560197</v>
      </c>
      <c r="U32">
        <v>47.226011457999597</v>
      </c>
      <c r="V32">
        <v>53.3994986067665</v>
      </c>
      <c r="W32">
        <v>41.721784227206697</v>
      </c>
      <c r="X32">
        <v>9.1703056768559001</v>
      </c>
    </row>
    <row r="33" spans="1:24" x14ac:dyDescent="0.25">
      <c r="A33">
        <v>21212</v>
      </c>
      <c r="B33" t="s">
        <v>83</v>
      </c>
      <c r="C33" s="11" t="s">
        <v>84</v>
      </c>
      <c r="D33" t="s">
        <v>82</v>
      </c>
      <c r="E33" t="s">
        <v>77</v>
      </c>
      <c r="F33" t="s">
        <v>79</v>
      </c>
      <c r="G33">
        <v>0.16287878787878801</v>
      </c>
      <c r="H33">
        <v>528</v>
      </c>
      <c r="I33">
        <v>16.067128755797501</v>
      </c>
      <c r="J33">
        <v>12.3420293595633</v>
      </c>
      <c r="K33">
        <v>-1.6498854502414999</v>
      </c>
      <c r="L33">
        <v>-1.3994329890439201</v>
      </c>
      <c r="M33">
        <v>-1.9037828716354599</v>
      </c>
      <c r="N33">
        <v>-1.65412082249355</v>
      </c>
      <c r="O33">
        <v>16.089388990218701</v>
      </c>
      <c r="P33">
        <v>18.389450531023599</v>
      </c>
      <c r="Q33">
        <v>13.9996827936325</v>
      </c>
      <c r="R33">
        <v>16.079044436272401</v>
      </c>
      <c r="S33">
        <v>19.803418488889299</v>
      </c>
      <c r="T33">
        <v>13.255741580937199</v>
      </c>
      <c r="U33">
        <v>50.303390522005699</v>
      </c>
      <c r="V33">
        <v>54.854242038302502</v>
      </c>
      <c r="W33">
        <v>45.777127272986803</v>
      </c>
      <c r="X33">
        <v>16.2878787878788</v>
      </c>
    </row>
    <row r="34" spans="1:24" x14ac:dyDescent="0.25">
      <c r="A34">
        <v>21221</v>
      </c>
      <c r="B34" t="s">
        <v>83</v>
      </c>
      <c r="C34" s="11" t="s">
        <v>84</v>
      </c>
      <c r="D34" t="s">
        <v>82</v>
      </c>
      <c r="E34" t="s">
        <v>80</v>
      </c>
      <c r="F34" t="s">
        <v>78</v>
      </c>
      <c r="G34">
        <v>0.178041543026706</v>
      </c>
      <c r="H34">
        <v>337</v>
      </c>
      <c r="I34">
        <v>17.354136624458999</v>
      </c>
      <c r="J34">
        <v>12.3420293595633</v>
      </c>
      <c r="K34">
        <v>-1.58088183146519</v>
      </c>
      <c r="L34">
        <v>-1.3187220858542099</v>
      </c>
      <c r="M34">
        <v>-1.85148840756919</v>
      </c>
      <c r="N34">
        <v>-1.6506850447608099</v>
      </c>
      <c r="O34">
        <v>16.075092479930099</v>
      </c>
      <c r="P34">
        <v>18.573600902669501</v>
      </c>
      <c r="Q34">
        <v>13.9828529010568</v>
      </c>
      <c r="R34">
        <v>17.0199312866085</v>
      </c>
      <c r="S34">
        <v>21.125673526658399</v>
      </c>
      <c r="T34">
        <v>13.7099357867728</v>
      </c>
      <c r="U34">
        <v>51.5363054267767</v>
      </c>
      <c r="V34">
        <v>56.3727144416874</v>
      </c>
      <c r="W34">
        <v>46.309405017535902</v>
      </c>
      <c r="X34">
        <v>17.8041543026706</v>
      </c>
    </row>
    <row r="35" spans="1:24" x14ac:dyDescent="0.25">
      <c r="A35">
        <v>21222</v>
      </c>
      <c r="B35" t="s">
        <v>83</v>
      </c>
      <c r="C35" s="11" t="s">
        <v>84</v>
      </c>
      <c r="D35" t="s">
        <v>82</v>
      </c>
      <c r="E35" t="s">
        <v>80</v>
      </c>
      <c r="F35" t="s">
        <v>79</v>
      </c>
      <c r="G35">
        <v>0.16910569105691101</v>
      </c>
      <c r="H35">
        <v>615</v>
      </c>
      <c r="I35">
        <v>16.6928593943735</v>
      </c>
      <c r="J35">
        <v>12.3420293595633</v>
      </c>
      <c r="K35">
        <v>-1.5151027556746099</v>
      </c>
      <c r="L35">
        <v>-1.2713811204873799</v>
      </c>
      <c r="M35">
        <v>-1.7527350907961601</v>
      </c>
      <c r="N35">
        <v>-1.3540871432605699</v>
      </c>
      <c r="O35">
        <v>20.478229085303099</v>
      </c>
      <c r="P35">
        <v>23.201982224500998</v>
      </c>
      <c r="Q35">
        <v>18.035918484073498</v>
      </c>
      <c r="R35">
        <v>18.015394352552999</v>
      </c>
      <c r="S35">
        <v>21.490720285262999</v>
      </c>
      <c r="T35">
        <v>14.7409376941657</v>
      </c>
      <c r="U35">
        <v>46.139818701615098</v>
      </c>
      <c r="V35">
        <v>50.352442317053097</v>
      </c>
      <c r="W35">
        <v>41.971364971050299</v>
      </c>
      <c r="X35">
        <v>16.910569105691099</v>
      </c>
    </row>
    <row r="36" spans="1:24" x14ac:dyDescent="0.25">
      <c r="A36">
        <v>21231</v>
      </c>
      <c r="B36" t="s">
        <v>83</v>
      </c>
      <c r="C36" s="11" t="s">
        <v>84</v>
      </c>
      <c r="D36" t="s">
        <v>82</v>
      </c>
      <c r="E36" t="s">
        <v>81</v>
      </c>
      <c r="F36" t="s">
        <v>78</v>
      </c>
      <c r="G36">
        <v>0.195357833655706</v>
      </c>
      <c r="H36">
        <v>517</v>
      </c>
      <c r="I36">
        <v>19.153869913630999</v>
      </c>
      <c r="J36">
        <v>12.3420293595633</v>
      </c>
      <c r="K36">
        <v>-1.4957915582275401</v>
      </c>
      <c r="L36">
        <v>-1.2611444619315899</v>
      </c>
      <c r="M36">
        <v>-1.7285045919123501</v>
      </c>
      <c r="N36">
        <v>-1.6397292908511101</v>
      </c>
      <c r="O36">
        <v>16.2054637432778</v>
      </c>
      <c r="P36">
        <v>18.5879608669477</v>
      </c>
      <c r="Q36">
        <v>14.2162455324788</v>
      </c>
      <c r="R36">
        <v>18.168607640923302</v>
      </c>
      <c r="S36">
        <v>22.0402882916209</v>
      </c>
      <c r="T36">
        <v>14.9853102013808</v>
      </c>
      <c r="U36">
        <v>53.490167241172301</v>
      </c>
      <c r="V36">
        <v>57.9520259849509</v>
      </c>
      <c r="W36">
        <v>48.826538168391799</v>
      </c>
      <c r="X36">
        <v>19.535783365570602</v>
      </c>
    </row>
    <row r="37" spans="1:24" x14ac:dyDescent="0.25">
      <c r="A37">
        <v>21232</v>
      </c>
      <c r="B37" t="s">
        <v>83</v>
      </c>
      <c r="C37" s="11" t="s">
        <v>84</v>
      </c>
      <c r="D37" t="s">
        <v>82</v>
      </c>
      <c r="E37" t="s">
        <v>81</v>
      </c>
      <c r="F37" t="s">
        <v>79</v>
      </c>
      <c r="G37">
        <v>0.198366394399067</v>
      </c>
      <c r="H37">
        <v>857</v>
      </c>
      <c r="I37">
        <v>19.593774653367699</v>
      </c>
      <c r="J37">
        <v>12.3420293595633</v>
      </c>
      <c r="K37">
        <v>-1.3764951541699399</v>
      </c>
      <c r="L37">
        <v>-1.1608215241028601</v>
      </c>
      <c r="M37">
        <v>-1.59425035214217</v>
      </c>
      <c r="N37">
        <v>-1.3431313893508701</v>
      </c>
      <c r="O37">
        <v>20.637330385021698</v>
      </c>
      <c r="P37">
        <v>23.288545961795201</v>
      </c>
      <c r="Q37">
        <v>18.356993438038302</v>
      </c>
      <c r="R37">
        <v>19.898949615060801</v>
      </c>
      <c r="S37">
        <v>23.297223888479699</v>
      </c>
      <c r="T37">
        <v>16.676817545893101</v>
      </c>
      <c r="U37">
        <v>48.984600426901302</v>
      </c>
      <c r="V37">
        <v>52.8490378623436</v>
      </c>
      <c r="W37">
        <v>45.468891698310998</v>
      </c>
      <c r="X37">
        <v>19.836639439906701</v>
      </c>
    </row>
    <row r="38" spans="1:24" x14ac:dyDescent="0.25">
      <c r="A38">
        <v>22111</v>
      </c>
      <c r="B38" t="s">
        <v>83</v>
      </c>
      <c r="C38" s="11" t="s">
        <v>85</v>
      </c>
      <c r="D38" t="s">
        <v>76</v>
      </c>
      <c r="E38" t="s">
        <v>77</v>
      </c>
      <c r="F38" t="s">
        <v>78</v>
      </c>
      <c r="G38">
        <v>0.15909090909090901</v>
      </c>
      <c r="H38">
        <v>88</v>
      </c>
      <c r="I38">
        <v>14.951729406579</v>
      </c>
      <c r="J38">
        <v>12.3420293595633</v>
      </c>
      <c r="K38">
        <v>-1.96757262795212</v>
      </c>
      <c r="L38">
        <v>-1.63128624786867</v>
      </c>
      <c r="M38">
        <v>-2.3051258683976701</v>
      </c>
      <c r="N38">
        <v>-2.0415797042492301</v>
      </c>
      <c r="O38">
        <v>11.525200827637899</v>
      </c>
      <c r="P38">
        <v>13.6152070188813</v>
      </c>
      <c r="Q38">
        <v>9.7418540092550696</v>
      </c>
      <c r="R38">
        <v>12.2970670871132</v>
      </c>
      <c r="S38">
        <v>16.0780232173807</v>
      </c>
      <c r="T38">
        <v>9.2956284465233807</v>
      </c>
      <c r="U38">
        <v>51.817999906722498</v>
      </c>
      <c r="V38">
        <v>58.703886970666296</v>
      </c>
      <c r="W38">
        <v>45.228903117126997</v>
      </c>
      <c r="X38">
        <v>15.909090909090899</v>
      </c>
    </row>
    <row r="39" spans="1:24" x14ac:dyDescent="0.25">
      <c r="A39">
        <v>22112</v>
      </c>
      <c r="B39" t="s">
        <v>83</v>
      </c>
      <c r="C39" s="11" t="s">
        <v>85</v>
      </c>
      <c r="D39" t="s">
        <v>76</v>
      </c>
      <c r="E39" t="s">
        <v>77</v>
      </c>
      <c r="F39" t="s">
        <v>79</v>
      </c>
      <c r="G39">
        <v>0.211320754716981</v>
      </c>
      <c r="H39">
        <v>265</v>
      </c>
      <c r="I39">
        <v>20.2846857434565</v>
      </c>
      <c r="J39">
        <v>12.3420293595633</v>
      </c>
      <c r="K39">
        <v>-1.5372291131781299</v>
      </c>
      <c r="L39">
        <v>-1.2455533378244801</v>
      </c>
      <c r="M39">
        <v>-1.8056111284251199</v>
      </c>
      <c r="N39">
        <v>-1.7449818027489901</v>
      </c>
      <c r="O39">
        <v>14.8602086773703</v>
      </c>
      <c r="P39">
        <v>17.150898765859399</v>
      </c>
      <c r="Q39">
        <v>12.7749742653948</v>
      </c>
      <c r="R39">
        <v>17.761213526353998</v>
      </c>
      <c r="S39">
        <v>21.913275550301801</v>
      </c>
      <c r="T39">
        <v>14.0610168106753</v>
      </c>
      <c r="U39">
        <v>55.0956103627842</v>
      </c>
      <c r="V39">
        <v>60.355188677371899</v>
      </c>
      <c r="W39">
        <v>49.943474039784903</v>
      </c>
      <c r="X39">
        <v>21.132075471698101</v>
      </c>
    </row>
    <row r="40" spans="1:24" x14ac:dyDescent="0.25">
      <c r="A40">
        <v>22121</v>
      </c>
      <c r="B40" t="s">
        <v>83</v>
      </c>
      <c r="C40" s="11" t="s">
        <v>85</v>
      </c>
      <c r="D40" t="s">
        <v>76</v>
      </c>
      <c r="E40" t="s">
        <v>80</v>
      </c>
      <c r="F40" t="s">
        <v>78</v>
      </c>
      <c r="G40">
        <v>0.125</v>
      </c>
      <c r="H40">
        <v>168</v>
      </c>
      <c r="I40">
        <v>12.4728200108182</v>
      </c>
      <c r="J40">
        <v>12.3420293595633</v>
      </c>
      <c r="K40">
        <v>-1.80141145258246</v>
      </c>
      <c r="L40">
        <v>-1.49089722071966</v>
      </c>
      <c r="M40">
        <v>-2.1069077317240898</v>
      </c>
      <c r="N40">
        <v>-1.74154602501625</v>
      </c>
      <c r="O40">
        <v>14.8756950349402</v>
      </c>
      <c r="P40">
        <v>17.246591435922301</v>
      </c>
      <c r="Q40">
        <v>12.892918233862099</v>
      </c>
      <c r="R40">
        <v>14.212732658545301</v>
      </c>
      <c r="S40">
        <v>18.4143518969227</v>
      </c>
      <c r="T40">
        <v>10.951326685493701</v>
      </c>
      <c r="U40">
        <v>48.5165187788038</v>
      </c>
      <c r="V40">
        <v>54.4597692907357</v>
      </c>
      <c r="W40">
        <v>42.287960920157502</v>
      </c>
      <c r="X40">
        <v>12.5</v>
      </c>
    </row>
    <row r="41" spans="1:24" x14ac:dyDescent="0.25">
      <c r="A41">
        <v>22122</v>
      </c>
      <c r="B41" t="s">
        <v>83</v>
      </c>
      <c r="C41" s="11" t="s">
        <v>85</v>
      </c>
      <c r="D41" t="s">
        <v>76</v>
      </c>
      <c r="E41" t="s">
        <v>80</v>
      </c>
      <c r="F41" t="s">
        <v>79</v>
      </c>
      <c r="G41">
        <v>0.25078369905956099</v>
      </c>
      <c r="H41">
        <v>319</v>
      </c>
      <c r="I41">
        <v>24.110420655540899</v>
      </c>
      <c r="J41">
        <v>12.3420293595633</v>
      </c>
      <c r="K41">
        <v>-1.23990077364677</v>
      </c>
      <c r="L41">
        <v>-0.97876353153416895</v>
      </c>
      <c r="M41">
        <v>-1.49872599364017</v>
      </c>
      <c r="N41">
        <v>-1.44494812351601</v>
      </c>
      <c r="O41">
        <v>19.033854931476</v>
      </c>
      <c r="P41">
        <v>21.6547422309403</v>
      </c>
      <c r="Q41">
        <v>16.675879427631699</v>
      </c>
      <c r="R41">
        <v>22.1445717385905</v>
      </c>
      <c r="S41">
        <v>27.104139083743402</v>
      </c>
      <c r="T41">
        <v>18.2817083683825</v>
      </c>
      <c r="U41">
        <v>55.066002570301102</v>
      </c>
      <c r="V41">
        <v>59.893154830924601</v>
      </c>
      <c r="W41">
        <v>49.860054639250698</v>
      </c>
      <c r="X41">
        <v>25.078369905956102</v>
      </c>
    </row>
    <row r="42" spans="1:24" x14ac:dyDescent="0.25">
      <c r="A42">
        <v>22131</v>
      </c>
      <c r="B42" t="s">
        <v>83</v>
      </c>
      <c r="C42" s="11" t="s">
        <v>85</v>
      </c>
      <c r="D42" t="s">
        <v>76</v>
      </c>
      <c r="E42" t="s">
        <v>81</v>
      </c>
      <c r="F42" t="s">
        <v>78</v>
      </c>
      <c r="G42">
        <v>0.119741100323625</v>
      </c>
      <c r="H42">
        <v>309</v>
      </c>
      <c r="I42">
        <v>12.0120055905972</v>
      </c>
      <c r="J42">
        <v>12.3420293595633</v>
      </c>
      <c r="K42">
        <v>-1.85219856949117</v>
      </c>
      <c r="L42">
        <v>-1.5517275682146701</v>
      </c>
      <c r="M42">
        <v>-2.1352716229122</v>
      </c>
      <c r="N42">
        <v>-1.7305902711065599</v>
      </c>
      <c r="O42">
        <v>15.0436587333209</v>
      </c>
      <c r="P42">
        <v>17.2129651703858</v>
      </c>
      <c r="Q42">
        <v>12.8990374468725</v>
      </c>
      <c r="R42">
        <v>13.619060217141399</v>
      </c>
      <c r="S42">
        <v>17.367707890509202</v>
      </c>
      <c r="T42">
        <v>10.8374661288262</v>
      </c>
      <c r="U42">
        <v>47.335468730218999</v>
      </c>
      <c r="V42">
        <v>52.713691695032097</v>
      </c>
      <c r="W42">
        <v>42.263955674781002</v>
      </c>
      <c r="X42">
        <v>11.9741100323625</v>
      </c>
    </row>
    <row r="43" spans="1:24" x14ac:dyDescent="0.25">
      <c r="A43">
        <v>22132</v>
      </c>
      <c r="B43" t="s">
        <v>83</v>
      </c>
      <c r="C43" s="11" t="s">
        <v>85</v>
      </c>
      <c r="D43" t="s">
        <v>76</v>
      </c>
      <c r="E43" t="s">
        <v>81</v>
      </c>
      <c r="F43" t="s">
        <v>79</v>
      </c>
      <c r="G43">
        <v>0.21163166397415201</v>
      </c>
      <c r="H43">
        <v>619</v>
      </c>
      <c r="I43">
        <v>20.781718274237399</v>
      </c>
      <c r="J43">
        <v>12.3420293595633</v>
      </c>
      <c r="K43">
        <v>-1.3489110161236699</v>
      </c>
      <c r="L43">
        <v>-1.1231884699080199</v>
      </c>
      <c r="M43">
        <v>-1.54552294212594</v>
      </c>
      <c r="N43">
        <v>-1.4339923696063099</v>
      </c>
      <c r="O43">
        <v>19.2287335208174</v>
      </c>
      <c r="P43">
        <v>21.6788915782783</v>
      </c>
      <c r="Q43">
        <v>16.986263644077201</v>
      </c>
      <c r="R43">
        <v>20.530845557226499</v>
      </c>
      <c r="S43">
        <v>24.599326437337801</v>
      </c>
      <c r="T43">
        <v>17.266291254954499</v>
      </c>
      <c r="U43">
        <v>51.9749902080138</v>
      </c>
      <c r="V43">
        <v>55.826469317208499</v>
      </c>
      <c r="W43">
        <v>48.067887505711703</v>
      </c>
      <c r="X43">
        <v>21.1631663974152</v>
      </c>
    </row>
    <row r="44" spans="1:24" x14ac:dyDescent="0.25">
      <c r="A44">
        <v>22211</v>
      </c>
      <c r="B44" t="s">
        <v>83</v>
      </c>
      <c r="C44" s="11" t="s">
        <v>85</v>
      </c>
      <c r="D44" t="s">
        <v>82</v>
      </c>
      <c r="E44" t="s">
        <v>77</v>
      </c>
      <c r="F44" t="s">
        <v>78</v>
      </c>
      <c r="G44">
        <v>0.17486338797814199</v>
      </c>
      <c r="H44">
        <v>183</v>
      </c>
      <c r="I44">
        <v>16.746677686292202</v>
      </c>
      <c r="J44">
        <v>12.3420293595633</v>
      </c>
      <c r="K44">
        <v>-1.57530477538332</v>
      </c>
      <c r="L44">
        <v>-1.26218259493202</v>
      </c>
      <c r="M44">
        <v>-1.8433256353968399</v>
      </c>
      <c r="N44">
        <v>-1.5673010482010901</v>
      </c>
      <c r="O44">
        <v>17.291248815995001</v>
      </c>
      <c r="P44">
        <v>20.0676048751953</v>
      </c>
      <c r="Q44">
        <v>14.9828078055272</v>
      </c>
      <c r="R44">
        <v>17.299326456882401</v>
      </c>
      <c r="S44">
        <v>22.119122620402798</v>
      </c>
      <c r="T44">
        <v>13.667449089917399</v>
      </c>
      <c r="U44">
        <v>49.976602119932899</v>
      </c>
      <c r="V44">
        <v>56.109840428555003</v>
      </c>
      <c r="W44">
        <v>44.442334901141599</v>
      </c>
      <c r="X44">
        <v>17.486338797814199</v>
      </c>
    </row>
    <row r="45" spans="1:24" x14ac:dyDescent="0.25">
      <c r="A45">
        <v>22212</v>
      </c>
      <c r="B45" t="s">
        <v>83</v>
      </c>
      <c r="C45" s="11" t="s">
        <v>85</v>
      </c>
      <c r="D45" t="s">
        <v>82</v>
      </c>
      <c r="E45" t="s">
        <v>77</v>
      </c>
      <c r="F45" t="s">
        <v>79</v>
      </c>
      <c r="G45">
        <v>0.210648148148148</v>
      </c>
      <c r="H45">
        <v>432</v>
      </c>
      <c r="I45">
        <v>20.5316500445706</v>
      </c>
      <c r="J45">
        <v>12.3420293595633</v>
      </c>
      <c r="K45">
        <v>-1.29949594585576</v>
      </c>
      <c r="L45">
        <v>-1.06305285827901</v>
      </c>
      <c r="M45">
        <v>-1.55601183068553</v>
      </c>
      <c r="N45">
        <v>-1.2707031467008501</v>
      </c>
      <c r="O45">
        <v>21.9591029196433</v>
      </c>
      <c r="P45">
        <v>24.698000359078701</v>
      </c>
      <c r="Q45">
        <v>19.402518058989099</v>
      </c>
      <c r="R45">
        <v>21.299416506163201</v>
      </c>
      <c r="S45">
        <v>25.609875307273299</v>
      </c>
      <c r="T45">
        <v>17.326913434401401</v>
      </c>
      <c r="U45">
        <v>49.372835663658499</v>
      </c>
      <c r="V45">
        <v>53.938759266547898</v>
      </c>
      <c r="W45">
        <v>44.901300578986302</v>
      </c>
      <c r="X45">
        <v>21.064814814814799</v>
      </c>
    </row>
    <row r="46" spans="1:24" x14ac:dyDescent="0.25">
      <c r="A46">
        <v>22221</v>
      </c>
      <c r="B46" t="s">
        <v>83</v>
      </c>
      <c r="C46" s="11" t="s">
        <v>85</v>
      </c>
      <c r="D46" t="s">
        <v>82</v>
      </c>
      <c r="E46" t="s">
        <v>80</v>
      </c>
      <c r="F46" t="s">
        <v>78</v>
      </c>
      <c r="G46">
        <v>0.22641509433962301</v>
      </c>
      <c r="H46">
        <v>212</v>
      </c>
      <c r="I46">
        <v>21.455372763415699</v>
      </c>
      <c r="J46">
        <v>12.3420293595633</v>
      </c>
      <c r="K46">
        <v>-1.2437728342151999</v>
      </c>
      <c r="L46">
        <v>-0.97638275754943804</v>
      </c>
      <c r="M46">
        <v>-1.53366882753267</v>
      </c>
      <c r="N46">
        <v>-1.26726736896811</v>
      </c>
      <c r="O46">
        <v>22.048024998208898</v>
      </c>
      <c r="P46">
        <v>24.886957803822401</v>
      </c>
      <c r="Q46">
        <v>19.369969294469801</v>
      </c>
      <c r="R46">
        <v>22.484070723339201</v>
      </c>
      <c r="S46">
        <v>27.674863658665899</v>
      </c>
      <c r="T46">
        <v>17.8956757559218</v>
      </c>
      <c r="U46">
        <v>50.529023388552098</v>
      </c>
      <c r="V46">
        <v>55.990598238476601</v>
      </c>
      <c r="W46">
        <v>45.348398747150497</v>
      </c>
      <c r="X46">
        <v>22.641509433962302</v>
      </c>
    </row>
    <row r="47" spans="1:24" x14ac:dyDescent="0.25">
      <c r="A47">
        <v>22222</v>
      </c>
      <c r="B47" t="s">
        <v>83</v>
      </c>
      <c r="C47" s="11" t="s">
        <v>85</v>
      </c>
      <c r="D47" t="s">
        <v>82</v>
      </c>
      <c r="E47" t="s">
        <v>80</v>
      </c>
      <c r="F47" t="s">
        <v>79</v>
      </c>
      <c r="G47">
        <v>0.30997876857749501</v>
      </c>
      <c r="H47">
        <v>471</v>
      </c>
      <c r="I47">
        <v>30.097428974786801</v>
      </c>
      <c r="J47">
        <v>12.3420293595633</v>
      </c>
      <c r="K47">
        <v>-0.8509259593838</v>
      </c>
      <c r="L47">
        <v>-0.63510502685026105</v>
      </c>
      <c r="M47">
        <v>-1.07923982453074</v>
      </c>
      <c r="N47">
        <v>-0.97066946746786598</v>
      </c>
      <c r="O47">
        <v>27.466067546812798</v>
      </c>
      <c r="P47">
        <v>30.523509633711701</v>
      </c>
      <c r="Q47">
        <v>24.448500840010201</v>
      </c>
      <c r="R47">
        <v>29.906069468016899</v>
      </c>
      <c r="S47">
        <v>35.032143846624201</v>
      </c>
      <c r="T47">
        <v>25.167315098250999</v>
      </c>
      <c r="U47">
        <v>52.998219053959502</v>
      </c>
      <c r="V47">
        <v>57.058428461731701</v>
      </c>
      <c r="W47">
        <v>48.7719430644364</v>
      </c>
      <c r="X47">
        <v>30.9978768577495</v>
      </c>
    </row>
    <row r="48" spans="1:24" x14ac:dyDescent="0.25">
      <c r="A48">
        <v>22231</v>
      </c>
      <c r="B48" t="s">
        <v>83</v>
      </c>
      <c r="C48" s="11" t="s">
        <v>85</v>
      </c>
      <c r="D48" t="s">
        <v>82</v>
      </c>
      <c r="E48" t="s">
        <v>81</v>
      </c>
      <c r="F48" t="s">
        <v>78</v>
      </c>
      <c r="G48">
        <v>0.25714285714285701</v>
      </c>
      <c r="H48">
        <v>350</v>
      </c>
      <c r="I48">
        <v>24.792064465728298</v>
      </c>
      <c r="J48">
        <v>12.3420293595633</v>
      </c>
      <c r="K48">
        <v>-1.13876098474416</v>
      </c>
      <c r="L48">
        <v>-0.89605427601158805</v>
      </c>
      <c r="M48">
        <v>-1.3801644986067301</v>
      </c>
      <c r="N48">
        <v>-1.2563116150584099</v>
      </c>
      <c r="O48">
        <v>22.1349341715704</v>
      </c>
      <c r="P48">
        <v>25.051653477565299</v>
      </c>
      <c r="Q48">
        <v>19.621437759110702</v>
      </c>
      <c r="R48">
        <v>24.178548954218599</v>
      </c>
      <c r="S48">
        <v>29.434350038031099</v>
      </c>
      <c r="T48">
        <v>20.244618961257199</v>
      </c>
      <c r="U48">
        <v>52.908100028117097</v>
      </c>
      <c r="V48">
        <v>57.457888231904597</v>
      </c>
      <c r="W48">
        <v>48.576819318191099</v>
      </c>
      <c r="X48">
        <v>25.714285714285701</v>
      </c>
    </row>
    <row r="49" spans="1:24" x14ac:dyDescent="0.25">
      <c r="A49">
        <v>22232</v>
      </c>
      <c r="B49" t="s">
        <v>83</v>
      </c>
      <c r="C49" s="11" t="s">
        <v>85</v>
      </c>
      <c r="D49" t="s">
        <v>82</v>
      </c>
      <c r="E49" t="s">
        <v>81</v>
      </c>
      <c r="F49" t="s">
        <v>79</v>
      </c>
      <c r="G49">
        <v>0.297583081570997</v>
      </c>
      <c r="H49">
        <v>662</v>
      </c>
      <c r="I49">
        <v>29.143875372821</v>
      </c>
      <c r="J49">
        <v>12.3420293595633</v>
      </c>
      <c r="K49">
        <v>-0.88347177165472501</v>
      </c>
      <c r="L49">
        <v>-0.67462304627001002</v>
      </c>
      <c r="M49">
        <v>-1.0888758677676</v>
      </c>
      <c r="N49">
        <v>-0.95971371355817003</v>
      </c>
      <c r="O49">
        <v>27.580654560301099</v>
      </c>
      <c r="P49">
        <v>30.734639040623801</v>
      </c>
      <c r="Q49">
        <v>24.903872260568601</v>
      </c>
      <c r="R49">
        <v>29.1851179744463</v>
      </c>
      <c r="S49">
        <v>33.569765903635002</v>
      </c>
      <c r="T49">
        <v>25.154956195478501</v>
      </c>
      <c r="U49">
        <v>51.793728470426998</v>
      </c>
      <c r="V49">
        <v>55.843842701298897</v>
      </c>
      <c r="W49">
        <v>48.324592391471803</v>
      </c>
      <c r="X49">
        <v>29.758308157099702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D41F5-3A38-4F42-AE7B-6478283971D5}">
  <dimension ref="A1:N49"/>
  <sheetViews>
    <sheetView workbookViewId="0">
      <selection activeCell="L9" sqref="L9"/>
    </sheetView>
  </sheetViews>
  <sheetFormatPr baseColWidth="10" defaultRowHeight="15" x14ac:dyDescent="0.25"/>
  <sheetData>
    <row r="1" spans="1:14" x14ac:dyDescent="0.25">
      <c r="A1" t="s">
        <v>47</v>
      </c>
      <c r="B1" t="s">
        <v>58</v>
      </c>
      <c r="C1" t="s">
        <v>52</v>
      </c>
      <c r="D1" t="s">
        <v>53</v>
      </c>
      <c r="E1" t="s">
        <v>55</v>
      </c>
      <c r="F1" t="s">
        <v>54</v>
      </c>
      <c r="G1" t="s">
        <v>56</v>
      </c>
      <c r="H1" t="s">
        <v>86</v>
      </c>
      <c r="I1" t="s">
        <v>68</v>
      </c>
      <c r="J1" t="s">
        <v>69</v>
      </c>
      <c r="K1" t="s">
        <v>70</v>
      </c>
      <c r="L1" t="s">
        <v>65</v>
      </c>
      <c r="M1" t="s">
        <v>66</v>
      </c>
      <c r="N1" t="s">
        <v>67</v>
      </c>
    </row>
    <row r="2" spans="1:14" x14ac:dyDescent="0.25">
      <c r="A2">
        <v>11111</v>
      </c>
      <c r="B2" s="12">
        <v>129</v>
      </c>
      <c r="C2" t="s">
        <v>75</v>
      </c>
      <c r="D2" s="11" t="s">
        <v>84</v>
      </c>
      <c r="E2" t="s">
        <v>77</v>
      </c>
      <c r="F2" t="s">
        <v>76</v>
      </c>
      <c r="G2" t="s">
        <v>78</v>
      </c>
      <c r="H2">
        <v>4.6511627906976702</v>
      </c>
      <c r="I2">
        <v>4.4355120719475201</v>
      </c>
      <c r="J2">
        <v>6.0935381710390404</v>
      </c>
      <c r="K2">
        <v>3.2087711149499598</v>
      </c>
      <c r="L2">
        <v>4.4369334088590797</v>
      </c>
      <c r="M2">
        <v>5.3692069713819901</v>
      </c>
      <c r="N2">
        <v>3.68519137831403</v>
      </c>
    </row>
    <row r="3" spans="1:14" x14ac:dyDescent="0.25">
      <c r="A3">
        <v>11121</v>
      </c>
      <c r="B3" s="12">
        <v>230</v>
      </c>
      <c r="C3" t="s">
        <v>75</v>
      </c>
      <c r="D3" s="11" t="s">
        <v>84</v>
      </c>
      <c r="E3" t="s">
        <v>80</v>
      </c>
      <c r="F3" t="s">
        <v>76</v>
      </c>
      <c r="G3" t="s">
        <v>78</v>
      </c>
      <c r="H3">
        <v>6.0869565217391299</v>
      </c>
      <c r="I3">
        <v>5.9710291267268003</v>
      </c>
      <c r="J3">
        <v>7.9688827010330296</v>
      </c>
      <c r="K3">
        <v>4.4864360047921998</v>
      </c>
      <c r="L3">
        <v>5.9002021630458596</v>
      </c>
      <c r="M3">
        <v>6.9392498816799302</v>
      </c>
      <c r="N3">
        <v>4.9559525822537296</v>
      </c>
    </row>
    <row r="4" spans="1:14" x14ac:dyDescent="0.25">
      <c r="A4">
        <v>12111</v>
      </c>
      <c r="B4" s="12">
        <v>89</v>
      </c>
      <c r="C4" t="s">
        <v>75</v>
      </c>
      <c r="D4" s="11" t="s">
        <v>85</v>
      </c>
      <c r="E4" t="s">
        <v>77</v>
      </c>
      <c r="F4" t="s">
        <v>76</v>
      </c>
      <c r="G4" t="s">
        <v>78</v>
      </c>
      <c r="H4">
        <v>3.3707865168539302</v>
      </c>
      <c r="I4">
        <v>6.0761577994984401</v>
      </c>
      <c r="J4">
        <v>8.2953034309326608</v>
      </c>
      <c r="K4">
        <v>4.49348636403389</v>
      </c>
      <c r="L4">
        <v>6.37503144314935</v>
      </c>
      <c r="M4">
        <v>7.6607020257200702</v>
      </c>
      <c r="N4">
        <v>5.32371897190444</v>
      </c>
    </row>
    <row r="5" spans="1:14" x14ac:dyDescent="0.25">
      <c r="A5">
        <v>11112</v>
      </c>
      <c r="B5" s="12">
        <v>385</v>
      </c>
      <c r="C5" t="s">
        <v>75</v>
      </c>
      <c r="D5" s="11" t="s">
        <v>84</v>
      </c>
      <c r="E5" t="s">
        <v>77</v>
      </c>
      <c r="F5" t="s">
        <v>76</v>
      </c>
      <c r="G5" t="s">
        <v>79</v>
      </c>
      <c r="H5">
        <v>6.7532467532467502</v>
      </c>
      <c r="I5">
        <v>6.1151592891937296</v>
      </c>
      <c r="J5">
        <v>8.0976992976769395</v>
      </c>
      <c r="K5">
        <v>4.5826487894790802</v>
      </c>
      <c r="L5">
        <v>5.8640918603207099</v>
      </c>
      <c r="M5">
        <v>6.9763916724223201</v>
      </c>
      <c r="N5">
        <v>4.9708209623674504</v>
      </c>
    </row>
    <row r="6" spans="1:14" x14ac:dyDescent="0.25">
      <c r="A6">
        <v>11131</v>
      </c>
      <c r="B6" s="12">
        <v>430</v>
      </c>
      <c r="C6" t="s">
        <v>75</v>
      </c>
      <c r="D6" s="11" t="s">
        <v>84</v>
      </c>
      <c r="E6" t="s">
        <v>81</v>
      </c>
      <c r="F6" t="s">
        <v>76</v>
      </c>
      <c r="G6" t="s">
        <v>78</v>
      </c>
      <c r="H6">
        <v>8.1395348837209305</v>
      </c>
      <c r="I6">
        <v>6.7592383484814196</v>
      </c>
      <c r="J6">
        <v>9.0017209912233902</v>
      </c>
      <c r="K6">
        <v>5.0848669272600002</v>
      </c>
      <c r="L6">
        <v>5.9461920373954902</v>
      </c>
      <c r="M6">
        <v>6.9172604966689502</v>
      </c>
      <c r="N6">
        <v>5.0666440720552002</v>
      </c>
    </row>
    <row r="7" spans="1:14" x14ac:dyDescent="0.25">
      <c r="A7">
        <v>21111</v>
      </c>
      <c r="B7" s="12">
        <v>119</v>
      </c>
      <c r="C7" t="s">
        <v>83</v>
      </c>
      <c r="D7" s="11" t="s">
        <v>84</v>
      </c>
      <c r="E7" t="s">
        <v>77</v>
      </c>
      <c r="F7" t="s">
        <v>76</v>
      </c>
      <c r="G7" t="s">
        <v>78</v>
      </c>
      <c r="H7">
        <v>4.2016806722689104</v>
      </c>
      <c r="I7">
        <v>7.5069506722223602</v>
      </c>
      <c r="J7">
        <v>10.0347916014837</v>
      </c>
      <c r="K7">
        <v>5.5100218286526097</v>
      </c>
      <c r="L7">
        <v>8.1524370664486696</v>
      </c>
      <c r="M7">
        <v>9.6501318851196096</v>
      </c>
      <c r="N7">
        <v>6.8775702806844903</v>
      </c>
    </row>
    <row r="8" spans="1:14" x14ac:dyDescent="0.25">
      <c r="A8">
        <v>12131</v>
      </c>
      <c r="B8" s="12">
        <v>314</v>
      </c>
      <c r="C8" t="s">
        <v>75</v>
      </c>
      <c r="D8" s="11" t="s">
        <v>85</v>
      </c>
      <c r="E8" t="s">
        <v>81</v>
      </c>
      <c r="F8" t="s">
        <v>76</v>
      </c>
      <c r="G8" t="s">
        <v>78</v>
      </c>
      <c r="H8">
        <v>5.7324840764331197</v>
      </c>
      <c r="I8">
        <v>7.5126903515336503</v>
      </c>
      <c r="J8">
        <v>9.9933387459880798</v>
      </c>
      <c r="K8">
        <v>5.7796929417693299</v>
      </c>
      <c r="L8">
        <v>8.5255799315793404</v>
      </c>
      <c r="M8">
        <v>9.8399564554667105</v>
      </c>
      <c r="N8">
        <v>7.2574664452996798</v>
      </c>
    </row>
    <row r="9" spans="1:14" x14ac:dyDescent="0.25">
      <c r="A9">
        <v>11211</v>
      </c>
      <c r="B9" s="12">
        <v>256</v>
      </c>
      <c r="C9" t="s">
        <v>75</v>
      </c>
      <c r="D9" s="11" t="s">
        <v>84</v>
      </c>
      <c r="E9" t="s">
        <v>77</v>
      </c>
      <c r="F9" t="s">
        <v>82</v>
      </c>
      <c r="G9" t="s">
        <v>78</v>
      </c>
      <c r="H9">
        <v>9.375</v>
      </c>
      <c r="I9">
        <v>7.5959291289163797</v>
      </c>
      <c r="J9">
        <v>10.0442939790848</v>
      </c>
      <c r="K9">
        <v>5.7287424974518801</v>
      </c>
      <c r="L9">
        <v>6.9478120292489596</v>
      </c>
      <c r="M9">
        <v>8.3227562230244807</v>
      </c>
      <c r="N9">
        <v>5.8718072277307796</v>
      </c>
    </row>
    <row r="10" spans="1:14" x14ac:dyDescent="0.25">
      <c r="A10">
        <v>11132</v>
      </c>
      <c r="B10" s="12">
        <v>865</v>
      </c>
      <c r="C10" t="s">
        <v>75</v>
      </c>
      <c r="D10" s="11" t="s">
        <v>84</v>
      </c>
      <c r="E10" t="s">
        <v>81</v>
      </c>
      <c r="F10" t="s">
        <v>76</v>
      </c>
      <c r="G10" t="s">
        <v>79</v>
      </c>
      <c r="H10">
        <v>8.2080924855491304</v>
      </c>
      <c r="I10">
        <v>8.0749811936630707</v>
      </c>
      <c r="J10">
        <v>9.9937365561684501</v>
      </c>
      <c r="K10">
        <v>6.3677569542508996</v>
      </c>
      <c r="L10">
        <v>7.8306879846339799</v>
      </c>
      <c r="M10">
        <v>8.9846939715984995</v>
      </c>
      <c r="N10">
        <v>6.7707998037172299</v>
      </c>
    </row>
    <row r="11" spans="1:14" x14ac:dyDescent="0.25">
      <c r="A11">
        <v>11122</v>
      </c>
      <c r="B11" s="12">
        <v>421</v>
      </c>
      <c r="C11" t="s">
        <v>75</v>
      </c>
      <c r="D11" s="11" t="s">
        <v>84</v>
      </c>
      <c r="E11" t="s">
        <v>80</v>
      </c>
      <c r="F11" t="s">
        <v>76</v>
      </c>
      <c r="G11" t="s">
        <v>79</v>
      </c>
      <c r="H11">
        <v>8.7885985748218491</v>
      </c>
      <c r="I11">
        <v>8.1335568847233706</v>
      </c>
      <c r="J11">
        <v>10.8083775328068</v>
      </c>
      <c r="K11">
        <v>6.22366873750022</v>
      </c>
      <c r="L11">
        <v>7.7463363085261898</v>
      </c>
      <c r="M11">
        <v>8.9759313413548405</v>
      </c>
      <c r="N11">
        <v>6.57585329027446</v>
      </c>
    </row>
    <row r="12" spans="1:14" x14ac:dyDescent="0.25">
      <c r="A12">
        <v>12121</v>
      </c>
      <c r="B12" s="12">
        <v>165</v>
      </c>
      <c r="C12" t="s">
        <v>75</v>
      </c>
      <c r="D12" s="11" t="s">
        <v>85</v>
      </c>
      <c r="E12" t="s">
        <v>80</v>
      </c>
      <c r="F12" t="s">
        <v>76</v>
      </c>
      <c r="G12" t="s">
        <v>78</v>
      </c>
      <c r="H12">
        <v>7.8787878787878798</v>
      </c>
      <c r="I12">
        <v>8.3421943277378805</v>
      </c>
      <c r="J12">
        <v>10.8521420364306</v>
      </c>
      <c r="K12">
        <v>6.1970697052558599</v>
      </c>
      <c r="L12">
        <v>8.3878529079117392</v>
      </c>
      <c r="M12">
        <v>9.8110934312396001</v>
      </c>
      <c r="N12">
        <v>7.1763309758664002</v>
      </c>
    </row>
    <row r="13" spans="1:14" x14ac:dyDescent="0.25">
      <c r="A13">
        <v>12112</v>
      </c>
      <c r="B13" s="12">
        <v>270</v>
      </c>
      <c r="C13" t="s">
        <v>75</v>
      </c>
      <c r="D13" s="11" t="s">
        <v>85</v>
      </c>
      <c r="E13" t="s">
        <v>77</v>
      </c>
      <c r="F13" t="s">
        <v>76</v>
      </c>
      <c r="G13" t="s">
        <v>79</v>
      </c>
      <c r="H13">
        <v>10</v>
      </c>
      <c r="I13">
        <v>8.8794125501062098</v>
      </c>
      <c r="J13">
        <v>11.2813643641095</v>
      </c>
      <c r="K13">
        <v>6.6929819381348699</v>
      </c>
      <c r="L13">
        <v>8.3740759438206602</v>
      </c>
      <c r="M13">
        <v>9.8269021175390705</v>
      </c>
      <c r="N13">
        <v>7.12898616248183</v>
      </c>
    </row>
    <row r="14" spans="1:14" x14ac:dyDescent="0.25">
      <c r="A14">
        <v>11212</v>
      </c>
      <c r="B14" s="12">
        <v>543</v>
      </c>
      <c r="C14" t="s">
        <v>75</v>
      </c>
      <c r="D14" s="11" t="s">
        <v>84</v>
      </c>
      <c r="E14" t="s">
        <v>77</v>
      </c>
      <c r="F14" t="s">
        <v>82</v>
      </c>
      <c r="G14" t="s">
        <v>79</v>
      </c>
      <c r="H14">
        <v>9.0239410681399601</v>
      </c>
      <c r="I14">
        <v>8.9604371727646601</v>
      </c>
      <c r="J14">
        <v>11.356968164595401</v>
      </c>
      <c r="K14">
        <v>7.0153878583028204</v>
      </c>
      <c r="L14">
        <v>9.1255287150938802</v>
      </c>
      <c r="M14">
        <v>10.6621892874391</v>
      </c>
      <c r="N14">
        <v>7.80828807124779</v>
      </c>
    </row>
    <row r="15" spans="1:14" x14ac:dyDescent="0.25">
      <c r="A15">
        <v>12211</v>
      </c>
      <c r="B15" s="12">
        <v>201</v>
      </c>
      <c r="C15" t="s">
        <v>75</v>
      </c>
      <c r="D15" s="11" t="s">
        <v>85</v>
      </c>
      <c r="E15" t="s">
        <v>77</v>
      </c>
      <c r="F15" t="s">
        <v>82</v>
      </c>
      <c r="G15" t="s">
        <v>78</v>
      </c>
      <c r="H15">
        <v>6.9651741293532297</v>
      </c>
      <c r="I15">
        <v>9.0026097924446997</v>
      </c>
      <c r="J15">
        <v>11.956881570547999</v>
      </c>
      <c r="K15">
        <v>6.9238391278309104</v>
      </c>
      <c r="L15">
        <v>9.8644194210176703</v>
      </c>
      <c r="M15">
        <v>11.7162773325089</v>
      </c>
      <c r="N15">
        <v>8.4229490612400806</v>
      </c>
    </row>
    <row r="16" spans="1:14" x14ac:dyDescent="0.25">
      <c r="A16">
        <v>21121</v>
      </c>
      <c r="B16" s="12">
        <v>207</v>
      </c>
      <c r="C16" t="s">
        <v>83</v>
      </c>
      <c r="D16" s="11" t="s">
        <v>84</v>
      </c>
      <c r="E16" t="s">
        <v>80</v>
      </c>
      <c r="F16" t="s">
        <v>76</v>
      </c>
      <c r="G16" t="s">
        <v>78</v>
      </c>
      <c r="H16">
        <v>5.3140096618357502</v>
      </c>
      <c r="I16">
        <v>9.1476913497832104</v>
      </c>
      <c r="J16">
        <v>12.010229837415601</v>
      </c>
      <c r="K16">
        <v>6.9628918528327697</v>
      </c>
      <c r="L16">
        <v>10.6373756320199</v>
      </c>
      <c r="M16">
        <v>12.4571909160803</v>
      </c>
      <c r="N16">
        <v>9.1506009696549295</v>
      </c>
    </row>
    <row r="17" spans="1:14" x14ac:dyDescent="0.25">
      <c r="A17">
        <v>11221</v>
      </c>
      <c r="B17" s="12">
        <v>355</v>
      </c>
      <c r="C17" t="s">
        <v>75</v>
      </c>
      <c r="D17" s="11" t="s">
        <v>84</v>
      </c>
      <c r="E17" t="s">
        <v>80</v>
      </c>
      <c r="F17" t="s">
        <v>82</v>
      </c>
      <c r="G17" t="s">
        <v>78</v>
      </c>
      <c r="H17">
        <v>11.2676056338028</v>
      </c>
      <c r="I17">
        <v>10.064695288574899</v>
      </c>
      <c r="J17">
        <v>12.725664474636</v>
      </c>
      <c r="K17">
        <v>7.7793527054069296</v>
      </c>
      <c r="L17">
        <v>9.0967646746189494</v>
      </c>
      <c r="M17">
        <v>10.6584508546786</v>
      </c>
      <c r="N17">
        <v>7.8204426944098104</v>
      </c>
    </row>
    <row r="18" spans="1:14" x14ac:dyDescent="0.25">
      <c r="A18">
        <v>21131</v>
      </c>
      <c r="B18" s="12">
        <v>422</v>
      </c>
      <c r="C18" t="s">
        <v>83</v>
      </c>
      <c r="D18" s="11" t="s">
        <v>84</v>
      </c>
      <c r="E18" t="s">
        <v>81</v>
      </c>
      <c r="F18" t="s">
        <v>76</v>
      </c>
      <c r="G18" t="s">
        <v>78</v>
      </c>
      <c r="H18">
        <v>10.1895734597156</v>
      </c>
      <c r="I18">
        <v>10.522096955016</v>
      </c>
      <c r="J18">
        <v>13.3985907814199</v>
      </c>
      <c r="K18">
        <v>8.2140977107947801</v>
      </c>
      <c r="L18">
        <v>10.778231030657601</v>
      </c>
      <c r="M18">
        <v>12.5001503805372</v>
      </c>
      <c r="N18">
        <v>9.2869357631578406</v>
      </c>
    </row>
    <row r="19" spans="1:14" x14ac:dyDescent="0.25">
      <c r="A19">
        <v>12132</v>
      </c>
      <c r="B19" s="12">
        <v>667</v>
      </c>
      <c r="C19" t="s">
        <v>75</v>
      </c>
      <c r="D19" s="11" t="s">
        <v>85</v>
      </c>
      <c r="E19" t="s">
        <v>81</v>
      </c>
      <c r="F19" t="s">
        <v>76</v>
      </c>
      <c r="G19" t="s">
        <v>79</v>
      </c>
      <c r="H19">
        <v>10.194902548725601</v>
      </c>
      <c r="I19">
        <v>10.5713618737157</v>
      </c>
      <c r="J19">
        <v>13.005054411962</v>
      </c>
      <c r="K19">
        <v>8.3419848942977293</v>
      </c>
      <c r="L19">
        <v>11.0892737130998</v>
      </c>
      <c r="M19">
        <v>12.5485735720147</v>
      </c>
      <c r="N19">
        <v>9.6647376694706804</v>
      </c>
    </row>
    <row r="20" spans="1:14" x14ac:dyDescent="0.25">
      <c r="A20">
        <v>11231</v>
      </c>
      <c r="B20" s="12">
        <v>528</v>
      </c>
      <c r="C20" t="s">
        <v>75</v>
      </c>
      <c r="D20" s="11" t="s">
        <v>84</v>
      </c>
      <c r="E20" t="s">
        <v>81</v>
      </c>
      <c r="F20" t="s">
        <v>82</v>
      </c>
      <c r="G20" t="s">
        <v>78</v>
      </c>
      <c r="H20">
        <v>12.5</v>
      </c>
      <c r="I20">
        <v>10.8319878717219</v>
      </c>
      <c r="J20">
        <v>13.4889469120456</v>
      </c>
      <c r="K20">
        <v>8.6254236012688708</v>
      </c>
      <c r="L20">
        <v>9.2391218134955597</v>
      </c>
      <c r="M20">
        <v>10.7020267556743</v>
      </c>
      <c r="N20">
        <v>7.9713197823373099</v>
      </c>
    </row>
    <row r="21" spans="1:14" x14ac:dyDescent="0.25">
      <c r="A21">
        <v>21112</v>
      </c>
      <c r="B21" s="12">
        <v>332</v>
      </c>
      <c r="C21" t="s">
        <v>83</v>
      </c>
      <c r="D21" s="11" t="s">
        <v>84</v>
      </c>
      <c r="E21" t="s">
        <v>77</v>
      </c>
      <c r="F21" t="s">
        <v>76</v>
      </c>
      <c r="G21" t="s">
        <v>79</v>
      </c>
      <c r="H21">
        <v>11.445783132530099</v>
      </c>
      <c r="I21">
        <v>10.9283711474641</v>
      </c>
      <c r="J21">
        <v>13.7700413373798</v>
      </c>
      <c r="K21">
        <v>8.5482440003649405</v>
      </c>
      <c r="L21">
        <v>10.6274304108692</v>
      </c>
      <c r="M21">
        <v>12.372138720515199</v>
      </c>
      <c r="N21">
        <v>9.1342178356915404</v>
      </c>
    </row>
    <row r="22" spans="1:14" x14ac:dyDescent="0.25">
      <c r="A22">
        <v>12212</v>
      </c>
      <c r="B22" s="12">
        <v>461</v>
      </c>
      <c r="C22" t="s">
        <v>75</v>
      </c>
      <c r="D22" s="11" t="s">
        <v>85</v>
      </c>
      <c r="E22" t="s">
        <v>77</v>
      </c>
      <c r="F22" t="s">
        <v>82</v>
      </c>
      <c r="G22" t="s">
        <v>79</v>
      </c>
      <c r="H22">
        <v>9.7613882863340606</v>
      </c>
      <c r="I22">
        <v>11.1613634289751</v>
      </c>
      <c r="J22">
        <v>14.1705248370425</v>
      </c>
      <c r="K22">
        <v>8.9317107922024999</v>
      </c>
      <c r="L22">
        <v>12.8634790989968</v>
      </c>
      <c r="M22">
        <v>14.754749624307999</v>
      </c>
      <c r="N22">
        <v>11.0052735617955</v>
      </c>
    </row>
    <row r="23" spans="1:14" x14ac:dyDescent="0.25">
      <c r="A23">
        <v>21211</v>
      </c>
      <c r="B23" s="12">
        <v>229</v>
      </c>
      <c r="C23" t="s">
        <v>83</v>
      </c>
      <c r="D23" s="11" t="s">
        <v>84</v>
      </c>
      <c r="E23" t="s">
        <v>77</v>
      </c>
      <c r="F23" t="s">
        <v>82</v>
      </c>
      <c r="G23" t="s">
        <v>78</v>
      </c>
      <c r="H23">
        <v>9.1703056768559001</v>
      </c>
      <c r="I23">
        <v>11.375935710908101</v>
      </c>
      <c r="J23">
        <v>14.626268440283599</v>
      </c>
      <c r="K23">
        <v>8.7050576929560197</v>
      </c>
      <c r="L23">
        <v>12.457586721998</v>
      </c>
      <c r="M23">
        <v>14.650594580127001</v>
      </c>
      <c r="N23">
        <v>10.656210446069</v>
      </c>
    </row>
    <row r="24" spans="1:14" x14ac:dyDescent="0.25">
      <c r="A24">
        <v>21132</v>
      </c>
      <c r="B24" s="12">
        <v>783</v>
      </c>
      <c r="C24" t="s">
        <v>83</v>
      </c>
      <c r="D24" s="11" t="s">
        <v>84</v>
      </c>
      <c r="E24" t="s">
        <v>81</v>
      </c>
      <c r="F24" t="s">
        <v>76</v>
      </c>
      <c r="G24" t="s">
        <v>79</v>
      </c>
      <c r="H24">
        <v>10.600255427841599</v>
      </c>
      <c r="I24">
        <v>11.6516869637938</v>
      </c>
      <c r="J24">
        <v>14.153636508708599</v>
      </c>
      <c r="K24">
        <v>9.4586856962573993</v>
      </c>
      <c r="L24">
        <v>13.9556767241884</v>
      </c>
      <c r="M24">
        <v>15.857088628320099</v>
      </c>
      <c r="N24">
        <v>12.2377118777429</v>
      </c>
    </row>
    <row r="25" spans="1:14" x14ac:dyDescent="0.25">
      <c r="A25">
        <v>11232</v>
      </c>
      <c r="B25" s="12">
        <v>894</v>
      </c>
      <c r="C25" t="s">
        <v>75</v>
      </c>
      <c r="D25" s="11" t="s">
        <v>84</v>
      </c>
      <c r="E25" t="s">
        <v>81</v>
      </c>
      <c r="F25" t="s">
        <v>82</v>
      </c>
      <c r="G25" t="s">
        <v>79</v>
      </c>
      <c r="H25">
        <v>11.744966442953</v>
      </c>
      <c r="I25">
        <v>11.772441036538201</v>
      </c>
      <c r="J25">
        <v>14.1531897050819</v>
      </c>
      <c r="K25">
        <v>9.6714068053119409</v>
      </c>
      <c r="L25">
        <v>12.0073378561643</v>
      </c>
      <c r="M25">
        <v>13.7551570879293</v>
      </c>
      <c r="N25">
        <v>10.4122986138042</v>
      </c>
    </row>
    <row r="26" spans="1:14" x14ac:dyDescent="0.25">
      <c r="A26">
        <v>12122</v>
      </c>
      <c r="B26" s="12">
        <v>349</v>
      </c>
      <c r="C26" t="s">
        <v>75</v>
      </c>
      <c r="D26" s="11" t="s">
        <v>85</v>
      </c>
      <c r="E26" t="s">
        <v>80</v>
      </c>
      <c r="F26" t="s">
        <v>76</v>
      </c>
      <c r="G26" t="s">
        <v>79</v>
      </c>
      <c r="H26">
        <v>13.4670487106017</v>
      </c>
      <c r="I26">
        <v>12.055115147602001</v>
      </c>
      <c r="J26">
        <v>15.298309824499301</v>
      </c>
      <c r="K26">
        <v>9.4925949030283494</v>
      </c>
      <c r="L26">
        <v>10.949885847420299</v>
      </c>
      <c r="M26">
        <v>12.7163193794264</v>
      </c>
      <c r="N26">
        <v>9.4333058360428197</v>
      </c>
    </row>
    <row r="27" spans="1:14" x14ac:dyDescent="0.25">
      <c r="A27">
        <v>11222</v>
      </c>
      <c r="B27" s="12">
        <v>644</v>
      </c>
      <c r="C27" t="s">
        <v>75</v>
      </c>
      <c r="D27" s="11" t="s">
        <v>84</v>
      </c>
      <c r="E27" t="s">
        <v>80</v>
      </c>
      <c r="F27" t="s">
        <v>82</v>
      </c>
      <c r="G27" t="s">
        <v>79</v>
      </c>
      <c r="H27">
        <v>12.4223602484472</v>
      </c>
      <c r="I27">
        <v>12.177330326222</v>
      </c>
      <c r="J27">
        <v>14.8687010845426</v>
      </c>
      <c r="K27">
        <v>9.7934526986001096</v>
      </c>
      <c r="L27">
        <v>11.8813450987076</v>
      </c>
      <c r="M27">
        <v>13.7136999615786</v>
      </c>
      <c r="N27">
        <v>10.201066276758</v>
      </c>
    </row>
    <row r="28" spans="1:14" x14ac:dyDescent="0.25">
      <c r="A28">
        <v>22111</v>
      </c>
      <c r="B28" s="12">
        <v>88</v>
      </c>
      <c r="C28" t="s">
        <v>83</v>
      </c>
      <c r="D28" s="11" t="s">
        <v>85</v>
      </c>
      <c r="E28" t="s">
        <v>77</v>
      </c>
      <c r="F28" t="s">
        <v>76</v>
      </c>
      <c r="G28" t="s">
        <v>78</v>
      </c>
      <c r="H28">
        <v>15.909090909090899</v>
      </c>
      <c r="I28">
        <v>12.2970670871132</v>
      </c>
      <c r="J28">
        <v>16.0780232173807</v>
      </c>
      <c r="K28">
        <v>9.2956284465233807</v>
      </c>
      <c r="L28">
        <v>11.525200827637899</v>
      </c>
      <c r="M28">
        <v>13.6152070188813</v>
      </c>
      <c r="N28">
        <v>9.7418540092550696</v>
      </c>
    </row>
    <row r="29" spans="1:14" x14ac:dyDescent="0.25">
      <c r="A29">
        <v>12231</v>
      </c>
      <c r="B29" s="12">
        <v>327</v>
      </c>
      <c r="C29" t="s">
        <v>75</v>
      </c>
      <c r="D29" s="11" t="s">
        <v>85</v>
      </c>
      <c r="E29" t="s">
        <v>81</v>
      </c>
      <c r="F29" t="s">
        <v>82</v>
      </c>
      <c r="G29" t="s">
        <v>78</v>
      </c>
      <c r="H29">
        <v>11.620795107033601</v>
      </c>
      <c r="I29">
        <v>12.5027710014927</v>
      </c>
      <c r="J29">
        <v>15.7355760220899</v>
      </c>
      <c r="K29">
        <v>9.7219724653192596</v>
      </c>
      <c r="L29">
        <v>12.987547574066101</v>
      </c>
      <c r="M29">
        <v>14.9008903302952</v>
      </c>
      <c r="N29">
        <v>11.2472181857739</v>
      </c>
    </row>
    <row r="30" spans="1:14" x14ac:dyDescent="0.25">
      <c r="A30">
        <v>21122</v>
      </c>
      <c r="B30" s="12">
        <v>466</v>
      </c>
      <c r="C30" t="s">
        <v>83</v>
      </c>
      <c r="D30" s="11" t="s">
        <v>84</v>
      </c>
      <c r="E30" t="s">
        <v>80</v>
      </c>
      <c r="F30" t="s">
        <v>76</v>
      </c>
      <c r="G30" t="s">
        <v>79</v>
      </c>
      <c r="H30">
        <v>11.8025751072961</v>
      </c>
      <c r="I30">
        <v>12.8262161488007</v>
      </c>
      <c r="J30">
        <v>15.814169811264</v>
      </c>
      <c r="K30">
        <v>10.169915840116101</v>
      </c>
      <c r="L30">
        <v>13.805342323025201</v>
      </c>
      <c r="M30">
        <v>15.8849478856489</v>
      </c>
      <c r="N30">
        <v>12.0700839547138</v>
      </c>
    </row>
    <row r="31" spans="1:14" x14ac:dyDescent="0.25">
      <c r="A31">
        <v>12221</v>
      </c>
      <c r="B31" s="12">
        <v>263</v>
      </c>
      <c r="C31" t="s">
        <v>75</v>
      </c>
      <c r="D31" s="11" t="s">
        <v>85</v>
      </c>
      <c r="E31" t="s">
        <v>80</v>
      </c>
      <c r="F31" t="s">
        <v>82</v>
      </c>
      <c r="G31" t="s">
        <v>78</v>
      </c>
      <c r="H31">
        <v>12.9277566539924</v>
      </c>
      <c r="I31">
        <v>12.942857034186</v>
      </c>
      <c r="J31">
        <v>16.7666505544728</v>
      </c>
      <c r="K31">
        <v>10.0906509914801</v>
      </c>
      <c r="L31">
        <v>12.844773147219</v>
      </c>
      <c r="M31">
        <v>14.842414821022</v>
      </c>
      <c r="N31">
        <v>11.1238126633153</v>
      </c>
    </row>
    <row r="32" spans="1:14" x14ac:dyDescent="0.25">
      <c r="A32">
        <v>22131</v>
      </c>
      <c r="B32" s="12">
        <v>309</v>
      </c>
      <c r="C32" t="s">
        <v>83</v>
      </c>
      <c r="D32" s="11" t="s">
        <v>85</v>
      </c>
      <c r="E32" t="s">
        <v>81</v>
      </c>
      <c r="F32" t="s">
        <v>76</v>
      </c>
      <c r="G32" t="s">
        <v>78</v>
      </c>
      <c r="H32">
        <v>11.9741100323625</v>
      </c>
      <c r="I32">
        <v>13.619060217141399</v>
      </c>
      <c r="J32">
        <v>17.367707890509202</v>
      </c>
      <c r="K32">
        <v>10.8374661288262</v>
      </c>
      <c r="L32">
        <v>15.0436587333209</v>
      </c>
      <c r="M32">
        <v>17.2129651703858</v>
      </c>
      <c r="N32">
        <v>12.8990374468725</v>
      </c>
    </row>
    <row r="33" spans="1:14" x14ac:dyDescent="0.25">
      <c r="A33">
        <v>22121</v>
      </c>
      <c r="B33" s="12">
        <v>168</v>
      </c>
      <c r="C33" t="s">
        <v>83</v>
      </c>
      <c r="D33" s="11" t="s">
        <v>85</v>
      </c>
      <c r="E33" t="s">
        <v>80</v>
      </c>
      <c r="F33" t="s">
        <v>76</v>
      </c>
      <c r="G33" t="s">
        <v>78</v>
      </c>
      <c r="H33">
        <v>12.5</v>
      </c>
      <c r="I33">
        <v>14.212732658545301</v>
      </c>
      <c r="J33">
        <v>18.4143518969227</v>
      </c>
      <c r="K33">
        <v>10.951326685493701</v>
      </c>
      <c r="L33">
        <v>14.8756950349402</v>
      </c>
      <c r="M33">
        <v>17.246591435922301</v>
      </c>
      <c r="N33">
        <v>12.892918233862099</v>
      </c>
    </row>
    <row r="34" spans="1:14" x14ac:dyDescent="0.25">
      <c r="A34">
        <v>12222</v>
      </c>
      <c r="B34" s="12">
        <v>507</v>
      </c>
      <c r="C34" t="s">
        <v>75</v>
      </c>
      <c r="D34" s="11" t="s">
        <v>85</v>
      </c>
      <c r="E34" t="s">
        <v>80</v>
      </c>
      <c r="F34" t="s">
        <v>82</v>
      </c>
      <c r="G34" t="s">
        <v>79</v>
      </c>
      <c r="H34">
        <v>12.8205128205128</v>
      </c>
      <c r="I34">
        <v>14.320615880154101</v>
      </c>
      <c r="J34">
        <v>17.727090800282699</v>
      </c>
      <c r="K34">
        <v>11.383996273816599</v>
      </c>
      <c r="L34">
        <v>16.542857300242598</v>
      </c>
      <c r="M34">
        <v>18.771560892006399</v>
      </c>
      <c r="N34">
        <v>14.5671869405493</v>
      </c>
    </row>
    <row r="35" spans="1:14" x14ac:dyDescent="0.25">
      <c r="A35">
        <v>12232</v>
      </c>
      <c r="B35" s="12">
        <v>720</v>
      </c>
      <c r="C35" t="s">
        <v>75</v>
      </c>
      <c r="D35" s="11" t="s">
        <v>85</v>
      </c>
      <c r="E35" t="s">
        <v>81</v>
      </c>
      <c r="F35" t="s">
        <v>82</v>
      </c>
      <c r="G35" t="s">
        <v>79</v>
      </c>
      <c r="H35">
        <v>14.5833333333333</v>
      </c>
      <c r="I35">
        <v>15.2982730836521</v>
      </c>
      <c r="J35">
        <v>18.1885430737373</v>
      </c>
      <c r="K35">
        <v>12.4811583322881</v>
      </c>
      <c r="L35">
        <v>16.677509789281</v>
      </c>
      <c r="M35">
        <v>18.7927344640567</v>
      </c>
      <c r="N35">
        <v>14.6276153025954</v>
      </c>
    </row>
    <row r="36" spans="1:14" x14ac:dyDescent="0.25">
      <c r="A36">
        <v>21212</v>
      </c>
      <c r="B36" s="12">
        <v>528</v>
      </c>
      <c r="C36" t="s">
        <v>83</v>
      </c>
      <c r="D36" s="11" t="s">
        <v>84</v>
      </c>
      <c r="E36" t="s">
        <v>77</v>
      </c>
      <c r="F36" t="s">
        <v>82</v>
      </c>
      <c r="G36" t="s">
        <v>79</v>
      </c>
      <c r="H36">
        <v>16.2878787878788</v>
      </c>
      <c r="I36">
        <v>16.079044436272401</v>
      </c>
      <c r="J36">
        <v>19.803418488889299</v>
      </c>
      <c r="K36">
        <v>13.255741580937199</v>
      </c>
      <c r="L36">
        <v>16.089388990218701</v>
      </c>
      <c r="M36">
        <v>18.389450531023599</v>
      </c>
      <c r="N36">
        <v>13.9996827936325</v>
      </c>
    </row>
    <row r="37" spans="1:14" x14ac:dyDescent="0.25">
      <c r="A37">
        <v>21221</v>
      </c>
      <c r="B37" s="12">
        <v>337</v>
      </c>
      <c r="C37" t="s">
        <v>83</v>
      </c>
      <c r="D37" s="11" t="s">
        <v>84</v>
      </c>
      <c r="E37" t="s">
        <v>80</v>
      </c>
      <c r="F37" t="s">
        <v>82</v>
      </c>
      <c r="G37" t="s">
        <v>78</v>
      </c>
      <c r="H37">
        <v>17.8041543026706</v>
      </c>
      <c r="I37">
        <v>17.0199312866085</v>
      </c>
      <c r="J37">
        <v>21.125673526658399</v>
      </c>
      <c r="K37">
        <v>13.7099357867728</v>
      </c>
      <c r="L37">
        <v>16.075092479930099</v>
      </c>
      <c r="M37">
        <v>18.573600902669501</v>
      </c>
      <c r="N37">
        <v>13.9828529010568</v>
      </c>
    </row>
    <row r="38" spans="1:14" x14ac:dyDescent="0.25">
      <c r="A38">
        <v>22211</v>
      </c>
      <c r="B38" s="12">
        <v>183</v>
      </c>
      <c r="C38" t="s">
        <v>83</v>
      </c>
      <c r="D38" s="11" t="s">
        <v>85</v>
      </c>
      <c r="E38" t="s">
        <v>77</v>
      </c>
      <c r="F38" t="s">
        <v>82</v>
      </c>
      <c r="G38" t="s">
        <v>78</v>
      </c>
      <c r="H38">
        <v>17.486338797814199</v>
      </c>
      <c r="I38">
        <v>17.299326456882401</v>
      </c>
      <c r="J38">
        <v>22.119122620402798</v>
      </c>
      <c r="K38">
        <v>13.667449089917399</v>
      </c>
      <c r="L38">
        <v>17.291248815995001</v>
      </c>
      <c r="M38">
        <v>20.0676048751953</v>
      </c>
      <c r="N38">
        <v>14.9828078055272</v>
      </c>
    </row>
    <row r="39" spans="1:14" x14ac:dyDescent="0.25">
      <c r="A39">
        <v>22112</v>
      </c>
      <c r="B39" s="12">
        <v>265</v>
      </c>
      <c r="C39" t="s">
        <v>83</v>
      </c>
      <c r="D39" s="11" t="s">
        <v>85</v>
      </c>
      <c r="E39" t="s">
        <v>77</v>
      </c>
      <c r="F39" t="s">
        <v>76</v>
      </c>
      <c r="G39" t="s">
        <v>79</v>
      </c>
      <c r="H39">
        <v>21.132075471698101</v>
      </c>
      <c r="I39">
        <v>17.761213526353998</v>
      </c>
      <c r="J39">
        <v>21.913275550301801</v>
      </c>
      <c r="K39">
        <v>14.0610168106753</v>
      </c>
      <c r="L39">
        <v>14.8602086773703</v>
      </c>
      <c r="M39">
        <v>17.150898765859399</v>
      </c>
      <c r="N39">
        <v>12.7749742653948</v>
      </c>
    </row>
    <row r="40" spans="1:14" x14ac:dyDescent="0.25">
      <c r="A40">
        <v>21222</v>
      </c>
      <c r="B40" s="12">
        <v>615</v>
      </c>
      <c r="C40" t="s">
        <v>83</v>
      </c>
      <c r="D40" s="11" t="s">
        <v>84</v>
      </c>
      <c r="E40" t="s">
        <v>80</v>
      </c>
      <c r="F40" t="s">
        <v>82</v>
      </c>
      <c r="G40" t="s">
        <v>79</v>
      </c>
      <c r="H40">
        <v>16.910569105691099</v>
      </c>
      <c r="I40">
        <v>18.015394352552999</v>
      </c>
      <c r="J40">
        <v>21.490720285262999</v>
      </c>
      <c r="K40">
        <v>14.7409376941657</v>
      </c>
      <c r="L40">
        <v>20.478229085303099</v>
      </c>
      <c r="M40">
        <v>23.201982224500998</v>
      </c>
      <c r="N40">
        <v>18.035918484073498</v>
      </c>
    </row>
    <row r="41" spans="1:14" x14ac:dyDescent="0.25">
      <c r="A41">
        <v>21231</v>
      </c>
      <c r="B41" s="12">
        <v>517</v>
      </c>
      <c r="C41" t="s">
        <v>83</v>
      </c>
      <c r="D41" s="11" t="s">
        <v>84</v>
      </c>
      <c r="E41" t="s">
        <v>81</v>
      </c>
      <c r="F41" t="s">
        <v>82</v>
      </c>
      <c r="G41" t="s">
        <v>78</v>
      </c>
      <c r="H41">
        <v>19.535783365570602</v>
      </c>
      <c r="I41">
        <v>18.168607640923302</v>
      </c>
      <c r="J41">
        <v>22.0402882916209</v>
      </c>
      <c r="K41">
        <v>14.9853102013808</v>
      </c>
      <c r="L41">
        <v>16.2054637432778</v>
      </c>
      <c r="M41">
        <v>18.5879608669477</v>
      </c>
      <c r="N41">
        <v>14.2162455324788</v>
      </c>
    </row>
    <row r="42" spans="1:14" x14ac:dyDescent="0.25">
      <c r="A42">
        <v>21232</v>
      </c>
      <c r="B42" s="12">
        <v>857</v>
      </c>
      <c r="C42" t="s">
        <v>83</v>
      </c>
      <c r="D42" s="11" t="s">
        <v>84</v>
      </c>
      <c r="E42" t="s">
        <v>81</v>
      </c>
      <c r="F42" t="s">
        <v>82</v>
      </c>
      <c r="G42" t="s">
        <v>79</v>
      </c>
      <c r="H42">
        <v>19.836639439906701</v>
      </c>
      <c r="I42">
        <v>19.898949615060801</v>
      </c>
      <c r="J42">
        <v>23.297223888479699</v>
      </c>
      <c r="K42">
        <v>16.676817545893101</v>
      </c>
      <c r="L42">
        <v>20.637330385021698</v>
      </c>
      <c r="M42">
        <v>23.288545961795201</v>
      </c>
      <c r="N42">
        <v>18.356993438038302</v>
      </c>
    </row>
    <row r="43" spans="1:14" x14ac:dyDescent="0.25">
      <c r="A43">
        <v>22132</v>
      </c>
      <c r="B43" s="12">
        <v>619</v>
      </c>
      <c r="C43" t="s">
        <v>83</v>
      </c>
      <c r="D43" s="11" t="s">
        <v>85</v>
      </c>
      <c r="E43" t="s">
        <v>81</v>
      </c>
      <c r="F43" t="s">
        <v>76</v>
      </c>
      <c r="G43" t="s">
        <v>79</v>
      </c>
      <c r="H43">
        <v>21.1631663974152</v>
      </c>
      <c r="I43">
        <v>20.530845557226499</v>
      </c>
      <c r="J43">
        <v>24.599326437337801</v>
      </c>
      <c r="K43">
        <v>17.266291254954499</v>
      </c>
      <c r="L43">
        <v>19.2287335208174</v>
      </c>
      <c r="M43">
        <v>21.6788915782783</v>
      </c>
      <c r="N43">
        <v>16.986263644077201</v>
      </c>
    </row>
    <row r="44" spans="1:14" x14ac:dyDescent="0.25">
      <c r="A44">
        <v>22212</v>
      </c>
      <c r="B44" s="12">
        <v>432</v>
      </c>
      <c r="C44" t="s">
        <v>83</v>
      </c>
      <c r="D44" s="11" t="s">
        <v>85</v>
      </c>
      <c r="E44" t="s">
        <v>77</v>
      </c>
      <c r="F44" t="s">
        <v>82</v>
      </c>
      <c r="G44" t="s">
        <v>79</v>
      </c>
      <c r="H44">
        <v>21.064814814814799</v>
      </c>
      <c r="I44">
        <v>21.299416506163201</v>
      </c>
      <c r="J44">
        <v>25.609875307273299</v>
      </c>
      <c r="K44">
        <v>17.326913434401401</v>
      </c>
      <c r="L44">
        <v>21.9591029196433</v>
      </c>
      <c r="M44">
        <v>24.698000359078701</v>
      </c>
      <c r="N44">
        <v>19.402518058989099</v>
      </c>
    </row>
    <row r="45" spans="1:14" x14ac:dyDescent="0.25">
      <c r="A45">
        <v>22122</v>
      </c>
      <c r="B45" s="12">
        <v>319</v>
      </c>
      <c r="C45" t="s">
        <v>83</v>
      </c>
      <c r="D45" s="11" t="s">
        <v>85</v>
      </c>
      <c r="E45" t="s">
        <v>80</v>
      </c>
      <c r="F45" t="s">
        <v>76</v>
      </c>
      <c r="G45" t="s">
        <v>79</v>
      </c>
      <c r="H45">
        <v>25.078369905956102</v>
      </c>
      <c r="I45">
        <v>22.1445717385905</v>
      </c>
      <c r="J45">
        <v>27.104139083743402</v>
      </c>
      <c r="K45">
        <v>18.2817083683825</v>
      </c>
      <c r="L45">
        <v>19.033854931476</v>
      </c>
      <c r="M45">
        <v>21.6547422309403</v>
      </c>
      <c r="N45">
        <v>16.675879427631699</v>
      </c>
    </row>
    <row r="46" spans="1:14" x14ac:dyDescent="0.25">
      <c r="A46">
        <v>22221</v>
      </c>
      <c r="B46" s="12">
        <v>212</v>
      </c>
      <c r="C46" t="s">
        <v>83</v>
      </c>
      <c r="D46" s="11" t="s">
        <v>85</v>
      </c>
      <c r="E46" t="s">
        <v>80</v>
      </c>
      <c r="F46" t="s">
        <v>82</v>
      </c>
      <c r="G46" t="s">
        <v>78</v>
      </c>
      <c r="H46">
        <v>22.641509433962302</v>
      </c>
      <c r="I46">
        <v>22.484070723339201</v>
      </c>
      <c r="J46">
        <v>27.674863658665899</v>
      </c>
      <c r="K46">
        <v>17.8956757559218</v>
      </c>
      <c r="L46">
        <v>22.048024998208898</v>
      </c>
      <c r="M46">
        <v>24.886957803822401</v>
      </c>
      <c r="N46">
        <v>19.369969294469801</v>
      </c>
    </row>
    <row r="47" spans="1:14" x14ac:dyDescent="0.25">
      <c r="A47">
        <v>22231</v>
      </c>
      <c r="B47" s="12">
        <v>350</v>
      </c>
      <c r="C47" t="s">
        <v>83</v>
      </c>
      <c r="D47" s="11" t="s">
        <v>85</v>
      </c>
      <c r="E47" t="s">
        <v>81</v>
      </c>
      <c r="F47" t="s">
        <v>82</v>
      </c>
      <c r="G47" t="s">
        <v>78</v>
      </c>
      <c r="H47">
        <v>25.714285714285701</v>
      </c>
      <c r="I47">
        <v>24.178548954218599</v>
      </c>
      <c r="J47">
        <v>29.434350038031099</v>
      </c>
      <c r="K47">
        <v>20.244618961257199</v>
      </c>
      <c r="L47">
        <v>22.1349341715704</v>
      </c>
      <c r="M47">
        <v>25.051653477565299</v>
      </c>
      <c r="N47">
        <v>19.621437759110702</v>
      </c>
    </row>
    <row r="48" spans="1:14" x14ac:dyDescent="0.25">
      <c r="A48">
        <v>22232</v>
      </c>
      <c r="B48" s="12">
        <v>662</v>
      </c>
      <c r="C48" t="s">
        <v>83</v>
      </c>
      <c r="D48" s="11" t="s">
        <v>85</v>
      </c>
      <c r="E48" t="s">
        <v>81</v>
      </c>
      <c r="F48" t="s">
        <v>82</v>
      </c>
      <c r="G48" t="s">
        <v>79</v>
      </c>
      <c r="H48">
        <v>29.758308157099702</v>
      </c>
      <c r="I48">
        <v>29.1851179744463</v>
      </c>
      <c r="J48">
        <v>33.569765903635002</v>
      </c>
      <c r="K48">
        <v>25.154956195478501</v>
      </c>
      <c r="L48">
        <v>27.580654560301099</v>
      </c>
      <c r="M48">
        <v>30.734639040623801</v>
      </c>
      <c r="N48">
        <v>24.903872260568601</v>
      </c>
    </row>
    <row r="49" spans="1:14" x14ac:dyDescent="0.25">
      <c r="A49">
        <v>22222</v>
      </c>
      <c r="B49" s="12">
        <v>471</v>
      </c>
      <c r="C49" t="s">
        <v>83</v>
      </c>
      <c r="D49" s="11" t="s">
        <v>85</v>
      </c>
      <c r="E49" t="s">
        <v>80</v>
      </c>
      <c r="F49" t="s">
        <v>82</v>
      </c>
      <c r="G49" t="s">
        <v>79</v>
      </c>
      <c r="H49">
        <v>30.9978768577495</v>
      </c>
      <c r="I49">
        <v>29.906069468016899</v>
      </c>
      <c r="J49">
        <v>35.032143846624201</v>
      </c>
      <c r="K49">
        <v>25.167315098250999</v>
      </c>
      <c r="L49">
        <v>27.466067546812798</v>
      </c>
      <c r="M49">
        <v>30.523509633711701</v>
      </c>
      <c r="N49">
        <v>24.448500840010201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32454-BC6D-4EC7-8C5E-FB5FB4B71219}">
  <dimension ref="A1:Y51"/>
  <sheetViews>
    <sheetView workbookViewId="0">
      <selection activeCell="A3" sqref="A3:G51"/>
    </sheetView>
  </sheetViews>
  <sheetFormatPr baseColWidth="10" defaultRowHeight="15" x14ac:dyDescent="0.25"/>
  <cols>
    <col min="9" max="14" width="0" hidden="1" customWidth="1"/>
    <col min="18" max="20" width="0" hidden="1" customWidth="1"/>
  </cols>
  <sheetData>
    <row r="1" spans="1:25" x14ac:dyDescent="0.25">
      <c r="A1" t="s">
        <v>138</v>
      </c>
      <c r="B1" t="s">
        <v>140</v>
      </c>
    </row>
    <row r="3" spans="1:25" x14ac:dyDescent="0.25">
      <c r="A3" t="s">
        <v>47</v>
      </c>
      <c r="B3" t="s">
        <v>58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57</v>
      </c>
      <c r="I3" t="s">
        <v>59</v>
      </c>
      <c r="J3" t="s">
        <v>60</v>
      </c>
      <c r="K3" t="s">
        <v>64</v>
      </c>
      <c r="L3" t="s">
        <v>65</v>
      </c>
      <c r="M3" t="s">
        <v>66</v>
      </c>
      <c r="N3" t="s">
        <v>67</v>
      </c>
      <c r="O3" t="s">
        <v>68</v>
      </c>
      <c r="P3" t="s">
        <v>70</v>
      </c>
      <c r="Q3" t="s">
        <v>69</v>
      </c>
      <c r="R3" t="s">
        <v>100</v>
      </c>
      <c r="S3" t="s">
        <v>101</v>
      </c>
      <c r="T3" t="s">
        <v>102</v>
      </c>
      <c r="U3" t="s">
        <v>103</v>
      </c>
      <c r="V3" t="s">
        <v>104</v>
      </c>
      <c r="W3" t="s">
        <v>105</v>
      </c>
      <c r="X3" t="s">
        <v>106</v>
      </c>
      <c r="Y3" t="s">
        <v>107</v>
      </c>
    </row>
    <row r="4" spans="1:25" x14ac:dyDescent="0.25">
      <c r="A4">
        <v>21222</v>
      </c>
      <c r="B4">
        <v>615</v>
      </c>
      <c r="C4" t="s">
        <v>83</v>
      </c>
      <c r="D4" s="11" t="s">
        <v>84</v>
      </c>
      <c r="E4" t="s">
        <v>82</v>
      </c>
      <c r="F4" t="s">
        <v>80</v>
      </c>
      <c r="G4" t="s">
        <v>79</v>
      </c>
      <c r="H4">
        <v>0.16910569105691101</v>
      </c>
      <c r="I4">
        <v>16.6928593943735</v>
      </c>
      <c r="J4">
        <v>12.3420293595633</v>
      </c>
      <c r="K4">
        <v>-1.3540871432605699</v>
      </c>
      <c r="L4">
        <v>20.478229085303099</v>
      </c>
      <c r="M4">
        <v>23.201982224500998</v>
      </c>
      <c r="N4">
        <v>18.035918484073498</v>
      </c>
      <c r="O4">
        <v>18.015394352552999</v>
      </c>
      <c r="P4">
        <v>14.7409376941657</v>
      </c>
      <c r="Q4">
        <v>21.490720285262999</v>
      </c>
      <c r="R4">
        <v>1.7218833140554199</v>
      </c>
      <c r="S4">
        <v>1.3178734031702799</v>
      </c>
      <c r="T4">
        <v>2.16833402731362</v>
      </c>
      <c r="U4">
        <v>-2.4628347327501801</v>
      </c>
      <c r="V4">
        <v>-6.7127694262848703</v>
      </c>
      <c r="W4">
        <v>1.7870999607845199</v>
      </c>
      <c r="X4">
        <v>39</v>
      </c>
      <c r="Y4">
        <v>1</v>
      </c>
    </row>
    <row r="5" spans="1:25" x14ac:dyDescent="0.25">
      <c r="A5">
        <v>21132</v>
      </c>
      <c r="B5">
        <v>783</v>
      </c>
      <c r="C5" t="s">
        <v>83</v>
      </c>
      <c r="D5" s="11" t="s">
        <v>84</v>
      </c>
      <c r="E5" t="s">
        <v>76</v>
      </c>
      <c r="F5" t="s">
        <v>81</v>
      </c>
      <c r="G5" t="s">
        <v>79</v>
      </c>
      <c r="H5">
        <v>0.106002554278416</v>
      </c>
      <c r="I5">
        <v>10.679472536085299</v>
      </c>
      <c r="J5">
        <v>12.3420293595633</v>
      </c>
      <c r="K5">
        <v>-1.8174100453990101</v>
      </c>
      <c r="L5">
        <v>13.9556767241884</v>
      </c>
      <c r="M5">
        <v>15.857088628320099</v>
      </c>
      <c r="N5">
        <v>12.2377118777429</v>
      </c>
      <c r="O5">
        <v>11.6516869637938</v>
      </c>
      <c r="P5">
        <v>9.4586856962573993</v>
      </c>
      <c r="Q5">
        <v>14.153636508708599</v>
      </c>
      <c r="R5">
        <v>1.1976915337885701</v>
      </c>
      <c r="S5">
        <v>0.92331039555540095</v>
      </c>
      <c r="T5">
        <v>1.5122721635504299</v>
      </c>
      <c r="U5">
        <v>-2.3039897603945998</v>
      </c>
      <c r="V5">
        <v>-5.2680432009534304</v>
      </c>
      <c r="W5">
        <v>0.660063680164237</v>
      </c>
      <c r="X5">
        <v>23</v>
      </c>
      <c r="Y5">
        <v>2</v>
      </c>
    </row>
    <row r="6" spans="1:25" x14ac:dyDescent="0.25">
      <c r="A6">
        <v>12222</v>
      </c>
      <c r="B6">
        <v>507</v>
      </c>
      <c r="C6" t="s">
        <v>75</v>
      </c>
      <c r="D6" s="11" t="s">
        <v>85</v>
      </c>
      <c r="E6" t="s">
        <v>82</v>
      </c>
      <c r="F6" t="s">
        <v>80</v>
      </c>
      <c r="G6" t="s">
        <v>79</v>
      </c>
      <c r="H6">
        <v>0.128205128205128</v>
      </c>
      <c r="I6">
        <v>12.7899967729381</v>
      </c>
      <c r="J6">
        <v>12.3420293595633</v>
      </c>
      <c r="K6">
        <v>-1.61940693697681</v>
      </c>
      <c r="L6">
        <v>16.542857300242598</v>
      </c>
      <c r="M6">
        <v>18.771560892006399</v>
      </c>
      <c r="N6">
        <v>14.5671869405493</v>
      </c>
      <c r="O6">
        <v>14.320615880154101</v>
      </c>
      <c r="P6">
        <v>11.383996273816599</v>
      </c>
      <c r="Q6">
        <v>17.727090800282699</v>
      </c>
      <c r="R6">
        <v>1.6181363587923601</v>
      </c>
      <c r="S6">
        <v>1.0725443753717101</v>
      </c>
      <c r="T6">
        <v>1.9413182924979899</v>
      </c>
      <c r="U6">
        <v>-2.2222414200884901</v>
      </c>
      <c r="V6">
        <v>-6.0272252733845404</v>
      </c>
      <c r="W6">
        <v>1.5827424332075599</v>
      </c>
      <c r="X6">
        <v>33</v>
      </c>
      <c r="Y6">
        <v>3</v>
      </c>
    </row>
    <row r="7" spans="1:25" x14ac:dyDescent="0.25">
      <c r="A7">
        <v>12212</v>
      </c>
      <c r="B7">
        <v>461</v>
      </c>
      <c r="C7" t="s">
        <v>75</v>
      </c>
      <c r="D7" s="11" t="s">
        <v>85</v>
      </c>
      <c r="E7" t="s">
        <v>82</v>
      </c>
      <c r="F7" t="s">
        <v>77</v>
      </c>
      <c r="G7" t="s">
        <v>79</v>
      </c>
      <c r="H7">
        <v>9.7613882863340606E-2</v>
      </c>
      <c r="I7">
        <v>9.9599495541208505</v>
      </c>
      <c r="J7">
        <v>12.3420293595633</v>
      </c>
      <c r="K7">
        <v>-1.9194406162097899</v>
      </c>
      <c r="L7">
        <v>12.8634790989968</v>
      </c>
      <c r="M7">
        <v>14.754749624307999</v>
      </c>
      <c r="N7">
        <v>11.0052735617955</v>
      </c>
      <c r="O7">
        <v>11.1613634289751</v>
      </c>
      <c r="P7">
        <v>8.9317107922024999</v>
      </c>
      <c r="Q7">
        <v>14.1705248370425</v>
      </c>
      <c r="R7">
        <v>1.3364321542959201</v>
      </c>
      <c r="S7">
        <v>0.95649899553890805</v>
      </c>
      <c r="T7">
        <v>1.6434540551846799</v>
      </c>
      <c r="U7">
        <v>-1.70211567002166</v>
      </c>
      <c r="V7">
        <v>-4.9232856181836402</v>
      </c>
      <c r="W7">
        <v>1.51905427814031</v>
      </c>
      <c r="X7">
        <v>21</v>
      </c>
      <c r="Y7">
        <v>4</v>
      </c>
    </row>
    <row r="8" spans="1:25" x14ac:dyDescent="0.25">
      <c r="A8">
        <v>21121</v>
      </c>
      <c r="B8">
        <v>207</v>
      </c>
      <c r="C8" t="s">
        <v>83</v>
      </c>
      <c r="D8" s="11" t="s">
        <v>84</v>
      </c>
      <c r="E8" t="s">
        <v>76</v>
      </c>
      <c r="F8" t="s">
        <v>80</v>
      </c>
      <c r="G8" t="s">
        <v>78</v>
      </c>
      <c r="H8">
        <v>5.3140096618357502E-2</v>
      </c>
      <c r="I8">
        <v>6.5827732664166403</v>
      </c>
      <c r="J8">
        <v>12.3420293595633</v>
      </c>
      <c r="K8">
        <v>-2.1249637008089501</v>
      </c>
      <c r="L8">
        <v>10.6373756320199</v>
      </c>
      <c r="M8">
        <v>12.4571909160803</v>
      </c>
      <c r="N8">
        <v>9.1506009696549295</v>
      </c>
      <c r="O8">
        <v>9.1476913497832104</v>
      </c>
      <c r="P8">
        <v>6.9628918528327697</v>
      </c>
      <c r="Q8">
        <v>12.010229837415601</v>
      </c>
      <c r="R8">
        <v>1.28758622055685</v>
      </c>
      <c r="S8">
        <v>0.84351784347584902</v>
      </c>
      <c r="T8">
        <v>1.53928575242871</v>
      </c>
      <c r="U8">
        <v>-1.4896842822366501</v>
      </c>
      <c r="V8">
        <v>-4.5066843569969102</v>
      </c>
      <c r="W8">
        <v>1.52731579252362</v>
      </c>
      <c r="X8">
        <v>15</v>
      </c>
      <c r="Y8">
        <v>5</v>
      </c>
    </row>
    <row r="9" spans="1:25" x14ac:dyDescent="0.25">
      <c r="A9">
        <v>22131</v>
      </c>
      <c r="B9">
        <v>309</v>
      </c>
      <c r="C9" t="s">
        <v>83</v>
      </c>
      <c r="D9" s="11" t="s">
        <v>85</v>
      </c>
      <c r="E9" t="s">
        <v>76</v>
      </c>
      <c r="F9" t="s">
        <v>81</v>
      </c>
      <c r="G9" t="s">
        <v>78</v>
      </c>
      <c r="H9">
        <v>0.119741100323625</v>
      </c>
      <c r="I9">
        <v>12.0120055905972</v>
      </c>
      <c r="J9">
        <v>12.3420293595633</v>
      </c>
      <c r="K9">
        <v>-1.7305902711065599</v>
      </c>
      <c r="L9">
        <v>15.0436587333209</v>
      </c>
      <c r="M9">
        <v>17.2129651703858</v>
      </c>
      <c r="N9">
        <v>12.8990374468725</v>
      </c>
      <c r="O9">
        <v>13.619060217141399</v>
      </c>
      <c r="P9">
        <v>10.8374661288262</v>
      </c>
      <c r="Q9">
        <v>17.367707890509202</v>
      </c>
      <c r="R9">
        <v>1.6658780004293501</v>
      </c>
      <c r="S9">
        <v>1.1004917662023601</v>
      </c>
      <c r="T9">
        <v>1.9965549428437199</v>
      </c>
      <c r="U9">
        <v>-1.42459851617956</v>
      </c>
      <c r="V9">
        <v>-5.3378462041532497</v>
      </c>
      <c r="W9">
        <v>2.4886491717941301</v>
      </c>
      <c r="X9">
        <v>31</v>
      </c>
      <c r="Y9">
        <v>6</v>
      </c>
    </row>
    <row r="10" spans="1:25" x14ac:dyDescent="0.25">
      <c r="A10">
        <v>12232</v>
      </c>
      <c r="B10">
        <v>720</v>
      </c>
      <c r="C10" t="s">
        <v>75</v>
      </c>
      <c r="D10" s="11" t="s">
        <v>85</v>
      </c>
      <c r="E10" t="s">
        <v>82</v>
      </c>
      <c r="F10" t="s">
        <v>81</v>
      </c>
      <c r="G10" t="s">
        <v>79</v>
      </c>
      <c r="H10">
        <v>0.14583333333333301</v>
      </c>
      <c r="I10">
        <v>14.4858813763278</v>
      </c>
      <c r="J10">
        <v>12.3420293595633</v>
      </c>
      <c r="K10">
        <v>-1.60845118306711</v>
      </c>
      <c r="L10">
        <v>16.677509789281</v>
      </c>
      <c r="M10">
        <v>18.7927344640567</v>
      </c>
      <c r="N10">
        <v>14.6276153025954</v>
      </c>
      <c r="O10">
        <v>15.2982730836521</v>
      </c>
      <c r="P10">
        <v>12.4811583322881</v>
      </c>
      <c r="Q10">
        <v>18.1885430737373</v>
      </c>
      <c r="R10">
        <v>1.45596549526765</v>
      </c>
      <c r="S10">
        <v>1.06253039833197</v>
      </c>
      <c r="T10">
        <v>1.8024445541512499</v>
      </c>
      <c r="U10">
        <v>-1.3792367056288399</v>
      </c>
      <c r="V10">
        <v>-4.9120280317652796</v>
      </c>
      <c r="W10">
        <v>2.1535546205076002</v>
      </c>
      <c r="X10">
        <v>34</v>
      </c>
      <c r="Y10">
        <v>7</v>
      </c>
    </row>
    <row r="11" spans="1:25" x14ac:dyDescent="0.25">
      <c r="A11">
        <v>21211</v>
      </c>
      <c r="B11">
        <v>229</v>
      </c>
      <c r="C11" t="s">
        <v>83</v>
      </c>
      <c r="D11" s="11" t="s">
        <v>84</v>
      </c>
      <c r="E11" t="s">
        <v>82</v>
      </c>
      <c r="F11" t="s">
        <v>77</v>
      </c>
      <c r="G11" t="s">
        <v>78</v>
      </c>
      <c r="H11">
        <v>9.1703056768558999E-2</v>
      </c>
      <c r="I11">
        <v>9.6316031272157794</v>
      </c>
      <c r="J11">
        <v>12.3420293595633</v>
      </c>
      <c r="K11">
        <v>-1.95071872399379</v>
      </c>
      <c r="L11">
        <v>12.457586721998</v>
      </c>
      <c r="M11">
        <v>14.650594580127001</v>
      </c>
      <c r="N11">
        <v>10.656210446069</v>
      </c>
      <c r="O11">
        <v>11.375935710908101</v>
      </c>
      <c r="P11">
        <v>8.7050576929560197</v>
      </c>
      <c r="Q11">
        <v>14.626268440283599</v>
      </c>
      <c r="R11">
        <v>1.51051294574682</v>
      </c>
      <c r="S11">
        <v>1.0189755444025601</v>
      </c>
      <c r="T11">
        <v>1.82207588188836</v>
      </c>
      <c r="U11">
        <v>-1.0816510110898201</v>
      </c>
      <c r="V11">
        <v>-4.6529197395910096</v>
      </c>
      <c r="W11">
        <v>2.4896177174113601</v>
      </c>
      <c r="X11">
        <v>22</v>
      </c>
      <c r="Y11">
        <v>8</v>
      </c>
    </row>
    <row r="12" spans="1:25" x14ac:dyDescent="0.25">
      <c r="A12">
        <v>12131</v>
      </c>
      <c r="B12">
        <v>314</v>
      </c>
      <c r="C12" t="s">
        <v>75</v>
      </c>
      <c r="D12" s="11" t="s">
        <v>85</v>
      </c>
      <c r="E12" t="s">
        <v>76</v>
      </c>
      <c r="F12" t="s">
        <v>81</v>
      </c>
      <c r="G12" t="s">
        <v>78</v>
      </c>
      <c r="H12">
        <v>5.7324840764331197E-2</v>
      </c>
      <c r="I12">
        <v>6.5711785288931797</v>
      </c>
      <c r="J12">
        <v>12.3420293595633</v>
      </c>
      <c r="K12">
        <v>-2.3793277406155</v>
      </c>
      <c r="L12">
        <v>8.5255799315793404</v>
      </c>
      <c r="M12">
        <v>9.8399564554667105</v>
      </c>
      <c r="N12">
        <v>7.2574664452996798</v>
      </c>
      <c r="O12">
        <v>7.5126903515336503</v>
      </c>
      <c r="P12">
        <v>5.7796929417693299</v>
      </c>
      <c r="Q12">
        <v>9.9933387459880798</v>
      </c>
      <c r="R12">
        <v>1.0749096439333501</v>
      </c>
      <c r="S12">
        <v>0.65879847198138497</v>
      </c>
      <c r="T12">
        <v>1.2607323940099</v>
      </c>
      <c r="U12">
        <v>-1.0128895800456801</v>
      </c>
      <c r="V12">
        <v>-3.4839250723050901</v>
      </c>
      <c r="W12">
        <v>1.4581459122137199</v>
      </c>
      <c r="X12">
        <v>7</v>
      </c>
      <c r="Y12">
        <v>9</v>
      </c>
    </row>
    <row r="13" spans="1:25" x14ac:dyDescent="0.25">
      <c r="A13">
        <v>21122</v>
      </c>
      <c r="B13">
        <v>466</v>
      </c>
      <c r="C13" t="s">
        <v>83</v>
      </c>
      <c r="D13" s="11" t="s">
        <v>84</v>
      </c>
      <c r="E13" t="s">
        <v>76</v>
      </c>
      <c r="F13" t="s">
        <v>80</v>
      </c>
      <c r="G13" t="s">
        <v>79</v>
      </c>
      <c r="H13">
        <v>0.118025751072961</v>
      </c>
      <c r="I13">
        <v>11.8409618669985</v>
      </c>
      <c r="J13">
        <v>12.3420293595633</v>
      </c>
      <c r="K13">
        <v>-1.8283657993087099</v>
      </c>
      <c r="L13">
        <v>13.805342323025201</v>
      </c>
      <c r="M13">
        <v>15.8849478856489</v>
      </c>
      <c r="N13">
        <v>12.0700839547138</v>
      </c>
      <c r="O13">
        <v>12.8262161488007</v>
      </c>
      <c r="P13">
        <v>10.169915840116101</v>
      </c>
      <c r="Q13">
        <v>15.814169811264</v>
      </c>
      <c r="R13">
        <v>1.4398607069255001</v>
      </c>
      <c r="S13">
        <v>0.97317957421815204</v>
      </c>
      <c r="T13">
        <v>1.7378945132036701</v>
      </c>
      <c r="U13">
        <v>-0.97912617422455706</v>
      </c>
      <c r="V13">
        <v>-4.3853994201037496</v>
      </c>
      <c r="W13">
        <v>2.42714707165463</v>
      </c>
      <c r="X13">
        <v>29</v>
      </c>
      <c r="Y13">
        <v>10</v>
      </c>
    </row>
    <row r="14" spans="1:25" x14ac:dyDescent="0.25">
      <c r="A14">
        <v>12211</v>
      </c>
      <c r="B14">
        <v>201</v>
      </c>
      <c r="C14" t="s">
        <v>75</v>
      </c>
      <c r="D14" s="11" t="s">
        <v>85</v>
      </c>
      <c r="E14" t="s">
        <v>82</v>
      </c>
      <c r="F14" t="s">
        <v>77</v>
      </c>
      <c r="G14" t="s">
        <v>78</v>
      </c>
      <c r="H14">
        <v>6.9651741293532299E-2</v>
      </c>
      <c r="I14">
        <v>7.9005374475014101</v>
      </c>
      <c r="J14">
        <v>12.3420293595633</v>
      </c>
      <c r="K14">
        <v>-2.2160385177100301</v>
      </c>
      <c r="L14">
        <v>9.8644194210176703</v>
      </c>
      <c r="M14">
        <v>11.7162773325089</v>
      </c>
      <c r="N14">
        <v>8.4229490612400806</v>
      </c>
      <c r="O14">
        <v>9.0026097924446997</v>
      </c>
      <c r="P14">
        <v>6.9238391278309104</v>
      </c>
      <c r="Q14">
        <v>11.956881570547999</v>
      </c>
      <c r="R14">
        <v>1.28393939865231</v>
      </c>
      <c r="S14">
        <v>0.84013476307877</v>
      </c>
      <c r="T14">
        <v>1.53438156908413</v>
      </c>
      <c r="U14">
        <v>-0.86180962857296906</v>
      </c>
      <c r="V14">
        <v>-3.8691975039778699</v>
      </c>
      <c r="W14">
        <v>2.14557824683193</v>
      </c>
      <c r="X14">
        <v>14</v>
      </c>
      <c r="Y14">
        <v>11</v>
      </c>
    </row>
    <row r="15" spans="1:25" x14ac:dyDescent="0.25">
      <c r="A15">
        <v>21232</v>
      </c>
      <c r="B15">
        <v>857</v>
      </c>
      <c r="C15" t="s">
        <v>83</v>
      </c>
      <c r="D15" s="11" t="s">
        <v>84</v>
      </c>
      <c r="E15" t="s">
        <v>82</v>
      </c>
      <c r="F15" t="s">
        <v>81</v>
      </c>
      <c r="G15" t="s">
        <v>79</v>
      </c>
      <c r="H15">
        <v>0.198366394399067</v>
      </c>
      <c r="I15">
        <v>19.593774653367699</v>
      </c>
      <c r="J15">
        <v>12.3420293595633</v>
      </c>
      <c r="K15">
        <v>-1.3431313893508701</v>
      </c>
      <c r="L15">
        <v>20.637330385021698</v>
      </c>
      <c r="M15">
        <v>23.288545961795201</v>
      </c>
      <c r="N15">
        <v>18.356993438038302</v>
      </c>
      <c r="O15">
        <v>19.898949615060801</v>
      </c>
      <c r="P15">
        <v>16.676817545893101</v>
      </c>
      <c r="Q15">
        <v>23.297223888479699</v>
      </c>
      <c r="R15">
        <v>1.6888791690272</v>
      </c>
      <c r="S15">
        <v>1.2580491132032801</v>
      </c>
      <c r="T15">
        <v>2.1059440682994301</v>
      </c>
      <c r="U15">
        <v>-0.73838076996095103</v>
      </c>
      <c r="V15">
        <v>-4.8660311438278399</v>
      </c>
      <c r="W15">
        <v>3.38926960390594</v>
      </c>
      <c r="X15">
        <v>41</v>
      </c>
      <c r="Y15">
        <v>12</v>
      </c>
    </row>
    <row r="16" spans="1:25" x14ac:dyDescent="0.25">
      <c r="A16">
        <v>22121</v>
      </c>
      <c r="B16">
        <v>168</v>
      </c>
      <c r="C16" t="s">
        <v>83</v>
      </c>
      <c r="D16" s="11" t="s">
        <v>85</v>
      </c>
      <c r="E16" t="s">
        <v>76</v>
      </c>
      <c r="F16" t="s">
        <v>80</v>
      </c>
      <c r="G16" t="s">
        <v>78</v>
      </c>
      <c r="H16">
        <v>0.125</v>
      </c>
      <c r="I16">
        <v>12.4728200108182</v>
      </c>
      <c r="J16">
        <v>12.3420293595633</v>
      </c>
      <c r="K16">
        <v>-1.74154602501625</v>
      </c>
      <c r="L16">
        <v>14.8756950349402</v>
      </c>
      <c r="M16">
        <v>17.246591435922301</v>
      </c>
      <c r="N16">
        <v>12.892918233862099</v>
      </c>
      <c r="O16">
        <v>14.212732658545301</v>
      </c>
      <c r="P16">
        <v>10.951326685493701</v>
      </c>
      <c r="Q16">
        <v>18.4143518969227</v>
      </c>
      <c r="R16">
        <v>1.90383296209925</v>
      </c>
      <c r="S16">
        <v>1.11063091889289</v>
      </c>
      <c r="T16">
        <v>2.2041054842217598</v>
      </c>
      <c r="U16">
        <v>-0.66296237639490796</v>
      </c>
      <c r="V16">
        <v>-4.9830091254695699</v>
      </c>
      <c r="W16">
        <v>3.65708437267975</v>
      </c>
      <c r="X16">
        <v>32</v>
      </c>
      <c r="Y16">
        <v>13</v>
      </c>
    </row>
    <row r="17" spans="1:25" x14ac:dyDescent="0.25">
      <c r="A17">
        <v>22212</v>
      </c>
      <c r="B17">
        <v>432</v>
      </c>
      <c r="C17" t="s">
        <v>83</v>
      </c>
      <c r="D17" s="11" t="s">
        <v>85</v>
      </c>
      <c r="E17" t="s">
        <v>82</v>
      </c>
      <c r="F17" t="s">
        <v>77</v>
      </c>
      <c r="G17" t="s">
        <v>79</v>
      </c>
      <c r="H17">
        <v>0.210648148148148</v>
      </c>
      <c r="I17">
        <v>20.5316500445706</v>
      </c>
      <c r="J17">
        <v>12.3420293595633</v>
      </c>
      <c r="K17">
        <v>-1.2707031467008501</v>
      </c>
      <c r="L17">
        <v>21.9591029196433</v>
      </c>
      <c r="M17">
        <v>24.698000359078701</v>
      </c>
      <c r="N17">
        <v>19.402518058989099</v>
      </c>
      <c r="O17">
        <v>21.299416506163201</v>
      </c>
      <c r="P17">
        <v>17.326913434401401</v>
      </c>
      <c r="Q17">
        <v>25.609875307273299</v>
      </c>
      <c r="R17">
        <v>2.1130004777734599</v>
      </c>
      <c r="S17">
        <v>1.3508883418595801</v>
      </c>
      <c r="T17">
        <v>2.50792151616493</v>
      </c>
      <c r="U17">
        <v>-0.65968641348008505</v>
      </c>
      <c r="V17">
        <v>-5.5752125851633396</v>
      </c>
      <c r="W17">
        <v>4.2558397582031704</v>
      </c>
      <c r="X17">
        <v>43</v>
      </c>
      <c r="Y17">
        <v>14</v>
      </c>
    </row>
    <row r="18" spans="1:25" x14ac:dyDescent="0.25">
      <c r="A18">
        <v>21111</v>
      </c>
      <c r="B18">
        <v>119</v>
      </c>
      <c r="C18" t="s">
        <v>83</v>
      </c>
      <c r="D18" s="11" t="s">
        <v>84</v>
      </c>
      <c r="E18" t="s">
        <v>76</v>
      </c>
      <c r="F18" t="s">
        <v>77</v>
      </c>
      <c r="G18" t="s">
        <v>78</v>
      </c>
      <c r="H18">
        <v>4.20168067226891E-2</v>
      </c>
      <c r="I18">
        <v>6.46844983752794</v>
      </c>
      <c r="J18">
        <v>12.3420293595633</v>
      </c>
      <c r="K18">
        <v>-2.4249973800419302</v>
      </c>
      <c r="L18">
        <v>8.1524370664486696</v>
      </c>
      <c r="M18">
        <v>9.6501318851196096</v>
      </c>
      <c r="N18">
        <v>6.8775702806844903</v>
      </c>
      <c r="O18">
        <v>7.5069506722223602</v>
      </c>
      <c r="P18">
        <v>5.5100218286526097</v>
      </c>
      <c r="Q18">
        <v>10.0347916014837</v>
      </c>
      <c r="R18">
        <v>1.15427800327324</v>
      </c>
      <c r="S18">
        <v>0.707286123580388</v>
      </c>
      <c r="T18">
        <v>1.35373977168798</v>
      </c>
      <c r="U18">
        <v>-0.64548639422631204</v>
      </c>
      <c r="V18">
        <v>-3.29881634673476</v>
      </c>
      <c r="W18">
        <v>2.0078435582821301</v>
      </c>
      <c r="X18">
        <v>6</v>
      </c>
      <c r="Y18">
        <v>15</v>
      </c>
    </row>
    <row r="19" spans="1:25" x14ac:dyDescent="0.25">
      <c r="A19">
        <v>12132</v>
      </c>
      <c r="B19">
        <v>667</v>
      </c>
      <c r="C19" t="s">
        <v>75</v>
      </c>
      <c r="D19" s="11" t="s">
        <v>85</v>
      </c>
      <c r="E19" t="s">
        <v>76</v>
      </c>
      <c r="F19" t="s">
        <v>81</v>
      </c>
      <c r="G19" t="s">
        <v>79</v>
      </c>
      <c r="H19">
        <v>0.101949025487256</v>
      </c>
      <c r="I19">
        <v>10.310257782631201</v>
      </c>
      <c r="J19">
        <v>12.3420293595633</v>
      </c>
      <c r="K19">
        <v>-2.0827298391152498</v>
      </c>
      <c r="L19">
        <v>11.0892737130998</v>
      </c>
      <c r="M19">
        <v>12.5485735720147</v>
      </c>
      <c r="N19">
        <v>9.6647376694706804</v>
      </c>
      <c r="O19">
        <v>10.5713618737157</v>
      </c>
      <c r="P19">
        <v>8.3419848942977293</v>
      </c>
      <c r="Q19">
        <v>13.005054411962</v>
      </c>
      <c r="R19">
        <v>1.1895585504245501</v>
      </c>
      <c r="S19">
        <v>0.73567242411838296</v>
      </c>
      <c r="T19">
        <v>1.3986648849872401</v>
      </c>
      <c r="U19">
        <v>-0.51791183938415297</v>
      </c>
      <c r="V19">
        <v>-3.2592950139591399</v>
      </c>
      <c r="W19">
        <v>2.2234713351908399</v>
      </c>
      <c r="X19">
        <v>18</v>
      </c>
      <c r="Y19">
        <v>16</v>
      </c>
    </row>
    <row r="20" spans="1:25" x14ac:dyDescent="0.25">
      <c r="A20">
        <v>12231</v>
      </c>
      <c r="B20">
        <v>327</v>
      </c>
      <c r="C20" t="s">
        <v>75</v>
      </c>
      <c r="D20" s="11" t="s">
        <v>85</v>
      </c>
      <c r="E20" t="s">
        <v>82</v>
      </c>
      <c r="F20" t="s">
        <v>81</v>
      </c>
      <c r="G20" t="s">
        <v>78</v>
      </c>
      <c r="H20">
        <v>0.116207951070336</v>
      </c>
      <c r="I20">
        <v>11.6921329086016</v>
      </c>
      <c r="J20">
        <v>12.3420293595633</v>
      </c>
      <c r="K20">
        <v>-1.90504908456736</v>
      </c>
      <c r="L20">
        <v>12.987547574066101</v>
      </c>
      <c r="M20">
        <v>14.9008903302952</v>
      </c>
      <c r="N20">
        <v>11.2472181857739</v>
      </c>
      <c r="O20">
        <v>12.5027710014927</v>
      </c>
      <c r="P20">
        <v>9.7219724653192596</v>
      </c>
      <c r="Q20">
        <v>15.7355760220899</v>
      </c>
      <c r="R20">
        <v>1.53408253999252</v>
      </c>
      <c r="S20">
        <v>0.93205922054114898</v>
      </c>
      <c r="T20">
        <v>1.7950330442935201</v>
      </c>
      <c r="U20">
        <v>-0.48477657257334</v>
      </c>
      <c r="V20">
        <v>-4.0030413393886501</v>
      </c>
      <c r="W20">
        <v>3.0334881942419698</v>
      </c>
      <c r="X20">
        <v>28</v>
      </c>
      <c r="Y20">
        <v>17</v>
      </c>
    </row>
    <row r="21" spans="1:25" x14ac:dyDescent="0.25">
      <c r="A21">
        <v>12111</v>
      </c>
      <c r="B21">
        <v>89</v>
      </c>
      <c r="C21" t="s">
        <v>75</v>
      </c>
      <c r="D21" s="11" t="s">
        <v>85</v>
      </c>
      <c r="E21" t="s">
        <v>76</v>
      </c>
      <c r="F21" t="s">
        <v>77</v>
      </c>
      <c r="G21" t="s">
        <v>78</v>
      </c>
      <c r="H21">
        <v>3.3707865168539297E-2</v>
      </c>
      <c r="I21">
        <v>6.42930028316965</v>
      </c>
      <c r="J21">
        <v>12.3420293595633</v>
      </c>
      <c r="K21">
        <v>-2.6903171737581699</v>
      </c>
      <c r="L21">
        <v>6.37503144314935</v>
      </c>
      <c r="M21">
        <v>7.6607020257200702</v>
      </c>
      <c r="N21">
        <v>5.32371897190444</v>
      </c>
      <c r="O21">
        <v>6.0761577994984401</v>
      </c>
      <c r="P21">
        <v>4.49348636403389</v>
      </c>
      <c r="Q21">
        <v>8.2953034309326608</v>
      </c>
      <c r="R21">
        <v>0.96985129257621705</v>
      </c>
      <c r="S21">
        <v>0.59616914638153895</v>
      </c>
      <c r="T21">
        <v>1.13843277395244</v>
      </c>
      <c r="U21">
        <v>-0.29887364365091301</v>
      </c>
      <c r="V21">
        <v>-2.5302018805977</v>
      </c>
      <c r="W21">
        <v>1.9324545932958701</v>
      </c>
      <c r="X21">
        <v>3</v>
      </c>
      <c r="Y21">
        <v>18</v>
      </c>
    </row>
    <row r="22" spans="1:25" x14ac:dyDescent="0.25">
      <c r="A22">
        <v>21131</v>
      </c>
      <c r="B22">
        <v>422</v>
      </c>
      <c r="C22" t="s">
        <v>83</v>
      </c>
      <c r="D22" s="11" t="s">
        <v>84</v>
      </c>
      <c r="E22" t="s">
        <v>76</v>
      </c>
      <c r="F22" t="s">
        <v>81</v>
      </c>
      <c r="G22" t="s">
        <v>78</v>
      </c>
      <c r="H22">
        <v>0.10189573459715601</v>
      </c>
      <c r="I22">
        <v>10.366449877373899</v>
      </c>
      <c r="J22">
        <v>12.3420293595633</v>
      </c>
      <c r="K22">
        <v>-2.1140079468992501</v>
      </c>
      <c r="L22">
        <v>10.778231030657601</v>
      </c>
      <c r="M22">
        <v>12.5001503805372</v>
      </c>
      <c r="N22">
        <v>9.2869357631578406</v>
      </c>
      <c r="O22">
        <v>10.522096955016</v>
      </c>
      <c r="P22">
        <v>8.2140977107947801</v>
      </c>
      <c r="Q22">
        <v>13.3985907814199</v>
      </c>
      <c r="R22">
        <v>1.3225747629145801</v>
      </c>
      <c r="S22">
        <v>0.81969760647433498</v>
      </c>
      <c r="T22">
        <v>1.5559910570303099</v>
      </c>
      <c r="U22">
        <v>-0.25613407564160301</v>
      </c>
      <c r="V22">
        <v>-3.3058765474210201</v>
      </c>
      <c r="W22">
        <v>2.79360839613781</v>
      </c>
      <c r="X22">
        <v>17</v>
      </c>
      <c r="Y22">
        <v>19</v>
      </c>
    </row>
    <row r="23" spans="1:25" x14ac:dyDescent="0.25">
      <c r="A23">
        <v>11232</v>
      </c>
      <c r="B23">
        <v>894</v>
      </c>
      <c r="C23" t="s">
        <v>75</v>
      </c>
      <c r="D23" s="11" t="s">
        <v>84</v>
      </c>
      <c r="E23" t="s">
        <v>82</v>
      </c>
      <c r="F23" t="s">
        <v>81</v>
      </c>
      <c r="G23" t="s">
        <v>79</v>
      </c>
      <c r="H23">
        <v>0.11744966442953</v>
      </c>
      <c r="I23">
        <v>11.7679519717191</v>
      </c>
      <c r="J23">
        <v>12.3420293595633</v>
      </c>
      <c r="K23">
        <v>-1.9918688588598099</v>
      </c>
      <c r="L23">
        <v>12.0073378561643</v>
      </c>
      <c r="M23">
        <v>13.7551570879293</v>
      </c>
      <c r="N23">
        <v>10.4122986138042</v>
      </c>
      <c r="O23">
        <v>11.772441036538201</v>
      </c>
      <c r="P23">
        <v>9.6714068053119409</v>
      </c>
      <c r="Q23">
        <v>14.1531897050819</v>
      </c>
      <c r="R23">
        <v>1.14331196422704</v>
      </c>
      <c r="S23">
        <v>0.85277001890946003</v>
      </c>
      <c r="T23">
        <v>1.4263165681907799</v>
      </c>
      <c r="U23">
        <v>-0.23489681962612999</v>
      </c>
      <c r="V23">
        <v>-3.0304772932800601</v>
      </c>
      <c r="W23">
        <v>2.5606836540278</v>
      </c>
      <c r="X23">
        <v>24</v>
      </c>
      <c r="Y23">
        <v>20</v>
      </c>
    </row>
    <row r="24" spans="1:25" x14ac:dyDescent="0.25">
      <c r="A24">
        <v>11212</v>
      </c>
      <c r="B24">
        <v>543</v>
      </c>
      <c r="C24" t="s">
        <v>75</v>
      </c>
      <c r="D24" s="11" t="s">
        <v>84</v>
      </c>
      <c r="E24" t="s">
        <v>82</v>
      </c>
      <c r="F24" t="s">
        <v>77</v>
      </c>
      <c r="G24" t="s">
        <v>79</v>
      </c>
      <c r="H24">
        <v>9.0239410681399596E-2</v>
      </c>
      <c r="I24">
        <v>9.2497019668321805</v>
      </c>
      <c r="J24">
        <v>12.3420293595633</v>
      </c>
      <c r="K24">
        <v>-2.3028582920024898</v>
      </c>
      <c r="L24">
        <v>9.1255287150938802</v>
      </c>
      <c r="M24">
        <v>10.6621892874391</v>
      </c>
      <c r="N24">
        <v>7.80828807124779</v>
      </c>
      <c r="O24">
        <v>8.9604371727646601</v>
      </c>
      <c r="P24">
        <v>7.0153878583028204</v>
      </c>
      <c r="Q24">
        <v>11.356968164595401</v>
      </c>
      <c r="R24">
        <v>1.1075459965032199</v>
      </c>
      <c r="S24">
        <v>0.72803602453860095</v>
      </c>
      <c r="T24">
        <v>1.32540355642962</v>
      </c>
      <c r="U24">
        <v>-0.16509154232921999</v>
      </c>
      <c r="V24">
        <v>-2.7628825129312702</v>
      </c>
      <c r="W24">
        <v>2.43269942827283</v>
      </c>
      <c r="X24">
        <v>13</v>
      </c>
      <c r="Y24">
        <v>21</v>
      </c>
    </row>
    <row r="25" spans="1:25" x14ac:dyDescent="0.25">
      <c r="A25">
        <v>12121</v>
      </c>
      <c r="B25">
        <v>165</v>
      </c>
      <c r="C25" t="s">
        <v>75</v>
      </c>
      <c r="D25" s="11" t="s">
        <v>85</v>
      </c>
      <c r="E25" t="s">
        <v>76</v>
      </c>
      <c r="F25" t="s">
        <v>80</v>
      </c>
      <c r="G25" t="s">
        <v>78</v>
      </c>
      <c r="H25">
        <v>7.8787878787878796E-2</v>
      </c>
      <c r="I25">
        <v>8.7593841619007602</v>
      </c>
      <c r="J25">
        <v>12.3420293595633</v>
      </c>
      <c r="K25">
        <v>-2.3902834945251898</v>
      </c>
      <c r="L25">
        <v>8.3878529079117392</v>
      </c>
      <c r="M25">
        <v>9.8110934312396001</v>
      </c>
      <c r="N25">
        <v>7.1763309758664002</v>
      </c>
      <c r="O25">
        <v>8.3421943277378805</v>
      </c>
      <c r="P25">
        <v>6.1970697052558599</v>
      </c>
      <c r="Q25">
        <v>10.8521420364306</v>
      </c>
      <c r="R25">
        <v>1.1875184518302999</v>
      </c>
      <c r="S25">
        <v>0.67213327943193901</v>
      </c>
      <c r="T25">
        <v>1.3645377307928701</v>
      </c>
      <c r="U25">
        <v>-4.5658580173858702E-2</v>
      </c>
      <c r="V25">
        <v>-2.7201525325278899</v>
      </c>
      <c r="W25">
        <v>2.6288353721801698</v>
      </c>
      <c r="X25">
        <v>11</v>
      </c>
      <c r="Y25">
        <v>22</v>
      </c>
    </row>
    <row r="26" spans="1:25" x14ac:dyDescent="0.25">
      <c r="A26">
        <v>21212</v>
      </c>
      <c r="B26">
        <v>528</v>
      </c>
      <c r="C26" t="s">
        <v>83</v>
      </c>
      <c r="D26" s="11" t="s">
        <v>84</v>
      </c>
      <c r="E26" t="s">
        <v>82</v>
      </c>
      <c r="F26" t="s">
        <v>77</v>
      </c>
      <c r="G26" t="s">
        <v>79</v>
      </c>
      <c r="H26">
        <v>0.16287878787878801</v>
      </c>
      <c r="I26">
        <v>16.067128755797501</v>
      </c>
      <c r="J26">
        <v>12.3420293595633</v>
      </c>
      <c r="K26">
        <v>-1.65412082249355</v>
      </c>
      <c r="L26">
        <v>16.089388990218701</v>
      </c>
      <c r="M26">
        <v>18.389450531023599</v>
      </c>
      <c r="N26">
        <v>13.9996827936325</v>
      </c>
      <c r="O26">
        <v>16.079044436272401</v>
      </c>
      <c r="P26">
        <v>13.255741580937199</v>
      </c>
      <c r="Q26">
        <v>19.803418488889299</v>
      </c>
      <c r="R26">
        <v>1.6703257418245301</v>
      </c>
      <c r="S26">
        <v>1.11983870851815</v>
      </c>
      <c r="T26">
        <v>2.0109765828813799</v>
      </c>
      <c r="U26">
        <v>-1.0344553946279001E-2</v>
      </c>
      <c r="V26">
        <v>-3.9518586563937799</v>
      </c>
      <c r="W26">
        <v>3.9311695485012201</v>
      </c>
      <c r="X26">
        <v>35</v>
      </c>
      <c r="Y26">
        <v>23</v>
      </c>
    </row>
    <row r="27" spans="1:25" x14ac:dyDescent="0.25">
      <c r="A27">
        <v>11111</v>
      </c>
      <c r="B27">
        <v>129</v>
      </c>
      <c r="C27" t="s">
        <v>75</v>
      </c>
      <c r="D27" s="11" t="s">
        <v>84</v>
      </c>
      <c r="E27" t="s">
        <v>76</v>
      </c>
      <c r="F27" t="s">
        <v>77</v>
      </c>
      <c r="G27" t="s">
        <v>78</v>
      </c>
      <c r="H27">
        <v>4.6511627906976702E-2</v>
      </c>
      <c r="I27">
        <v>6.6534489704684798</v>
      </c>
      <c r="J27">
        <v>12.3420293595633</v>
      </c>
      <c r="K27">
        <v>-3.0737348495508701</v>
      </c>
      <c r="L27">
        <v>4.4369334088590797</v>
      </c>
      <c r="M27">
        <v>5.3692069713819901</v>
      </c>
      <c r="N27">
        <v>3.68519137831403</v>
      </c>
      <c r="O27">
        <v>4.4355120719475201</v>
      </c>
      <c r="P27">
        <v>3.2087711149499598</v>
      </c>
      <c r="Q27">
        <v>6.0935381710390404</v>
      </c>
      <c r="R27">
        <v>0.73590996328803104</v>
      </c>
      <c r="S27">
        <v>0.42959581455815099</v>
      </c>
      <c r="T27">
        <v>0.85212442633248797</v>
      </c>
      <c r="U27">
        <v>-1.42133691156054E-3</v>
      </c>
      <c r="V27">
        <v>-1.67158521252324</v>
      </c>
      <c r="W27">
        <v>1.66874253870012</v>
      </c>
      <c r="X27">
        <v>1</v>
      </c>
      <c r="Y27">
        <v>24</v>
      </c>
    </row>
    <row r="28" spans="1:25" x14ac:dyDescent="0.25">
      <c r="A28">
        <v>22211</v>
      </c>
      <c r="B28">
        <v>183</v>
      </c>
      <c r="C28" t="s">
        <v>83</v>
      </c>
      <c r="D28" s="11" t="s">
        <v>85</v>
      </c>
      <c r="E28" t="s">
        <v>82</v>
      </c>
      <c r="F28" t="s">
        <v>77</v>
      </c>
      <c r="G28" t="s">
        <v>78</v>
      </c>
      <c r="H28">
        <v>0.17486338797814199</v>
      </c>
      <c r="I28">
        <v>16.746677686292202</v>
      </c>
      <c r="J28">
        <v>12.3420293595633</v>
      </c>
      <c r="K28">
        <v>-1.5673010482010901</v>
      </c>
      <c r="L28">
        <v>17.291248815995001</v>
      </c>
      <c r="M28">
        <v>20.0676048751953</v>
      </c>
      <c r="N28">
        <v>14.9828078055272</v>
      </c>
      <c r="O28">
        <v>17.299326456882401</v>
      </c>
      <c r="P28">
        <v>13.667449089917399</v>
      </c>
      <c r="Q28">
        <v>22.119122620402798</v>
      </c>
      <c r="R28">
        <v>2.1560391659401401</v>
      </c>
      <c r="S28">
        <v>1.2971421096092</v>
      </c>
      <c r="T28">
        <v>2.51616425091632</v>
      </c>
      <c r="U28">
        <v>8.0776408873397508E-3</v>
      </c>
      <c r="V28">
        <v>-4.9236042909086501</v>
      </c>
      <c r="W28">
        <v>4.9397595726833297</v>
      </c>
      <c r="X28">
        <v>37</v>
      </c>
      <c r="Y28">
        <v>25</v>
      </c>
    </row>
    <row r="29" spans="1:25" x14ac:dyDescent="0.25">
      <c r="A29">
        <v>11121</v>
      </c>
      <c r="B29">
        <v>230</v>
      </c>
      <c r="C29" t="s">
        <v>75</v>
      </c>
      <c r="D29" s="11" t="s">
        <v>84</v>
      </c>
      <c r="E29" t="s">
        <v>76</v>
      </c>
      <c r="F29" t="s">
        <v>80</v>
      </c>
      <c r="G29" t="s">
        <v>78</v>
      </c>
      <c r="H29">
        <v>6.08695652173913E-2</v>
      </c>
      <c r="I29">
        <v>7.0959245985415196</v>
      </c>
      <c r="J29">
        <v>12.3420293595633</v>
      </c>
      <c r="K29">
        <v>-2.77370117031789</v>
      </c>
      <c r="L29">
        <v>5.9002021630458596</v>
      </c>
      <c r="M29">
        <v>6.9392498816799302</v>
      </c>
      <c r="N29">
        <v>4.9559525822537296</v>
      </c>
      <c r="O29">
        <v>5.9710291267268003</v>
      </c>
      <c r="P29">
        <v>4.4864360047921998</v>
      </c>
      <c r="Q29">
        <v>7.9688827010330296</v>
      </c>
      <c r="R29">
        <v>0.88837925924511096</v>
      </c>
      <c r="S29">
        <v>0.50594318862913401</v>
      </c>
      <c r="T29">
        <v>1.02234838405365</v>
      </c>
      <c r="U29">
        <v>7.0826963680946903E-2</v>
      </c>
      <c r="V29">
        <v>-1.9329758690642</v>
      </c>
      <c r="W29">
        <v>2.0746297964261</v>
      </c>
      <c r="X29">
        <v>2</v>
      </c>
      <c r="Y29">
        <v>26</v>
      </c>
    </row>
    <row r="30" spans="1:25" x14ac:dyDescent="0.25">
      <c r="A30">
        <v>12221</v>
      </c>
      <c r="B30">
        <v>263</v>
      </c>
      <c r="C30" t="s">
        <v>75</v>
      </c>
      <c r="D30" s="11" t="s">
        <v>85</v>
      </c>
      <c r="E30" t="s">
        <v>82</v>
      </c>
      <c r="F30" t="s">
        <v>80</v>
      </c>
      <c r="G30" t="s">
        <v>78</v>
      </c>
      <c r="H30">
        <v>0.129277566539924</v>
      </c>
      <c r="I30">
        <v>12.859907816011701</v>
      </c>
      <c r="J30">
        <v>12.3420293595633</v>
      </c>
      <c r="K30">
        <v>-1.9160048384770501</v>
      </c>
      <c r="L30">
        <v>12.844773147219</v>
      </c>
      <c r="M30">
        <v>14.842414821022</v>
      </c>
      <c r="N30">
        <v>11.1238126633153</v>
      </c>
      <c r="O30">
        <v>12.942857034186</v>
      </c>
      <c r="P30">
        <v>10.0906509914801</v>
      </c>
      <c r="Q30">
        <v>16.7666505544728</v>
      </c>
      <c r="R30">
        <v>1.70306111300834</v>
      </c>
      <c r="S30">
        <v>0.94862299941497197</v>
      </c>
      <c r="T30">
        <v>1.9494365210645499</v>
      </c>
      <c r="U30">
        <v>9.8083886966930905E-2</v>
      </c>
      <c r="V30">
        <v>-3.7228116943195899</v>
      </c>
      <c r="W30">
        <v>3.9189794682534602</v>
      </c>
      <c r="X30">
        <v>30</v>
      </c>
      <c r="Y30">
        <v>27</v>
      </c>
    </row>
    <row r="31" spans="1:25" x14ac:dyDescent="0.25">
      <c r="A31">
        <v>11132</v>
      </c>
      <c r="B31">
        <v>865</v>
      </c>
      <c r="C31" t="s">
        <v>75</v>
      </c>
      <c r="D31" s="11" t="s">
        <v>84</v>
      </c>
      <c r="E31" t="s">
        <v>76</v>
      </c>
      <c r="F31" t="s">
        <v>81</v>
      </c>
      <c r="G31" t="s">
        <v>79</v>
      </c>
      <c r="H31">
        <v>8.2080924855491302E-2</v>
      </c>
      <c r="I31">
        <v>8.3963750153932999</v>
      </c>
      <c r="J31">
        <v>12.3420293595633</v>
      </c>
      <c r="K31">
        <v>-2.4661475149079499</v>
      </c>
      <c r="L31">
        <v>7.8306879846339799</v>
      </c>
      <c r="M31">
        <v>8.9846939715984995</v>
      </c>
      <c r="N31">
        <v>6.7707998037172299</v>
      </c>
      <c r="O31">
        <v>8.0749811936630707</v>
      </c>
      <c r="P31">
        <v>6.3677569542508996</v>
      </c>
      <c r="Q31">
        <v>9.9937365561684501</v>
      </c>
      <c r="R31">
        <v>0.92499479640753801</v>
      </c>
      <c r="S31">
        <v>0.56476892037787496</v>
      </c>
      <c r="T31">
        <v>1.0837801007611301</v>
      </c>
      <c r="U31">
        <v>0.24429320902908999</v>
      </c>
      <c r="V31">
        <v>-1.87991578846273</v>
      </c>
      <c r="W31">
        <v>2.36850220652091</v>
      </c>
      <c r="X31">
        <v>9</v>
      </c>
      <c r="Y31">
        <v>28</v>
      </c>
    </row>
    <row r="32" spans="1:25" x14ac:dyDescent="0.25">
      <c r="A32">
        <v>11112</v>
      </c>
      <c r="B32">
        <v>385</v>
      </c>
      <c r="C32" t="s">
        <v>75</v>
      </c>
      <c r="D32" s="11" t="s">
        <v>84</v>
      </c>
      <c r="E32" t="s">
        <v>76</v>
      </c>
      <c r="F32" t="s">
        <v>77</v>
      </c>
      <c r="G32" t="s">
        <v>79</v>
      </c>
      <c r="H32">
        <v>6.7532467532467499E-2</v>
      </c>
      <c r="I32">
        <v>7.3226085639135103</v>
      </c>
      <c r="J32">
        <v>12.3420293595633</v>
      </c>
      <c r="K32">
        <v>-2.77713694805063</v>
      </c>
      <c r="L32">
        <v>5.8640918603207099</v>
      </c>
      <c r="M32">
        <v>6.9763916724223201</v>
      </c>
      <c r="N32">
        <v>4.9708209623674504</v>
      </c>
      <c r="O32">
        <v>6.1151592891937296</v>
      </c>
      <c r="P32">
        <v>4.5826487894790802</v>
      </c>
      <c r="Q32">
        <v>8.0976992976769395</v>
      </c>
      <c r="R32">
        <v>0.89669655821373895</v>
      </c>
      <c r="S32">
        <v>0.51162518113644595</v>
      </c>
      <c r="T32">
        <v>1.0323880295147101</v>
      </c>
      <c r="U32">
        <v>0.25106742887302202</v>
      </c>
      <c r="V32">
        <v>-1.7724131089758099</v>
      </c>
      <c r="W32">
        <v>2.2745479667218498</v>
      </c>
      <c r="X32">
        <v>4</v>
      </c>
      <c r="Y32">
        <v>29</v>
      </c>
    </row>
    <row r="33" spans="1:25" x14ac:dyDescent="0.25">
      <c r="A33">
        <v>11222</v>
      </c>
      <c r="B33">
        <v>644</v>
      </c>
      <c r="C33" t="s">
        <v>75</v>
      </c>
      <c r="D33" s="11" t="s">
        <v>84</v>
      </c>
      <c r="E33" t="s">
        <v>82</v>
      </c>
      <c r="F33" t="s">
        <v>80</v>
      </c>
      <c r="G33" t="s">
        <v>79</v>
      </c>
      <c r="H33">
        <v>0.12422360248447201</v>
      </c>
      <c r="I33">
        <v>12.4182218970404</v>
      </c>
      <c r="J33">
        <v>12.3420293595633</v>
      </c>
      <c r="K33">
        <v>-2.0028246127695102</v>
      </c>
      <c r="L33">
        <v>11.8813450987076</v>
      </c>
      <c r="M33">
        <v>13.7136999615786</v>
      </c>
      <c r="N33">
        <v>10.201066276758</v>
      </c>
      <c r="O33">
        <v>12.177330326222</v>
      </c>
      <c r="P33">
        <v>9.7934526986001096</v>
      </c>
      <c r="Q33">
        <v>14.8687010845426</v>
      </c>
      <c r="R33">
        <v>1.2947062209036899</v>
      </c>
      <c r="S33">
        <v>0.89608002163791101</v>
      </c>
      <c r="T33">
        <v>1.57455504941088</v>
      </c>
      <c r="U33">
        <v>0.295985227514386</v>
      </c>
      <c r="V33">
        <v>-2.7901426693309399</v>
      </c>
      <c r="W33">
        <v>3.38211312435971</v>
      </c>
      <c r="X33">
        <v>26</v>
      </c>
      <c r="Y33">
        <v>30</v>
      </c>
    </row>
    <row r="34" spans="1:25" x14ac:dyDescent="0.25">
      <c r="A34">
        <v>21112</v>
      </c>
      <c r="B34">
        <v>332</v>
      </c>
      <c r="C34" t="s">
        <v>83</v>
      </c>
      <c r="D34" s="11" t="s">
        <v>84</v>
      </c>
      <c r="E34" t="s">
        <v>76</v>
      </c>
      <c r="F34" t="s">
        <v>77</v>
      </c>
      <c r="G34" t="s">
        <v>79</v>
      </c>
      <c r="H34">
        <v>0.114457831325301</v>
      </c>
      <c r="I34">
        <v>11.533688355668501</v>
      </c>
      <c r="J34">
        <v>12.3420293595633</v>
      </c>
      <c r="K34">
        <v>-2.1283994785416902</v>
      </c>
      <c r="L34">
        <v>10.6274304108692</v>
      </c>
      <c r="M34">
        <v>12.372138720515199</v>
      </c>
      <c r="N34">
        <v>9.1342178356915404</v>
      </c>
      <c r="O34">
        <v>10.9283711474641</v>
      </c>
      <c r="P34">
        <v>8.5482440003649405</v>
      </c>
      <c r="Q34">
        <v>13.7700413373798</v>
      </c>
      <c r="R34">
        <v>1.33209115740175</v>
      </c>
      <c r="S34">
        <v>0.82600022572031095</v>
      </c>
      <c r="T34">
        <v>1.56740014818104</v>
      </c>
      <c r="U34">
        <v>0.30094073659485998</v>
      </c>
      <c r="V34">
        <v>-2.7711635538399699</v>
      </c>
      <c r="W34">
        <v>3.3730450270296899</v>
      </c>
      <c r="X34">
        <v>20</v>
      </c>
      <c r="Y34">
        <v>31</v>
      </c>
    </row>
    <row r="35" spans="1:25" x14ac:dyDescent="0.25">
      <c r="A35">
        <v>11122</v>
      </c>
      <c r="B35">
        <v>421</v>
      </c>
      <c r="C35" t="s">
        <v>75</v>
      </c>
      <c r="D35" s="11" t="s">
        <v>84</v>
      </c>
      <c r="E35" t="s">
        <v>76</v>
      </c>
      <c r="F35" t="s">
        <v>80</v>
      </c>
      <c r="G35" t="s">
        <v>79</v>
      </c>
      <c r="H35">
        <v>8.7885985748218501E-2</v>
      </c>
      <c r="I35">
        <v>9.0963686841777704</v>
      </c>
      <c r="J35">
        <v>12.3420293595633</v>
      </c>
      <c r="K35">
        <v>-2.47710326881765</v>
      </c>
      <c r="L35">
        <v>7.7463363085261898</v>
      </c>
      <c r="M35">
        <v>8.9759313413548405</v>
      </c>
      <c r="N35">
        <v>6.57585329027446</v>
      </c>
      <c r="O35">
        <v>8.1335568847233706</v>
      </c>
      <c r="P35">
        <v>6.22366873750022</v>
      </c>
      <c r="Q35">
        <v>10.8083775328068</v>
      </c>
      <c r="R35">
        <v>1.1695685702312699</v>
      </c>
      <c r="S35">
        <v>0.61226480894907598</v>
      </c>
      <c r="T35">
        <v>1.32013591601406</v>
      </c>
      <c r="U35">
        <v>0.38722057619718298</v>
      </c>
      <c r="V35">
        <v>-2.20024581919037</v>
      </c>
      <c r="W35">
        <v>2.9746869715847399</v>
      </c>
      <c r="X35">
        <v>10</v>
      </c>
      <c r="Y35">
        <v>32</v>
      </c>
    </row>
    <row r="36" spans="1:25" x14ac:dyDescent="0.25">
      <c r="A36">
        <v>22221</v>
      </c>
      <c r="B36">
        <v>212</v>
      </c>
      <c r="C36" t="s">
        <v>83</v>
      </c>
      <c r="D36" s="11" t="s">
        <v>85</v>
      </c>
      <c r="E36" t="s">
        <v>82</v>
      </c>
      <c r="F36" t="s">
        <v>80</v>
      </c>
      <c r="G36" t="s">
        <v>78</v>
      </c>
      <c r="H36">
        <v>0.22641509433962301</v>
      </c>
      <c r="I36">
        <v>21.455372763415699</v>
      </c>
      <c r="J36">
        <v>12.3420293595633</v>
      </c>
      <c r="K36">
        <v>-1.26726736896811</v>
      </c>
      <c r="L36">
        <v>22.048024998208898</v>
      </c>
      <c r="M36">
        <v>24.886957803822401</v>
      </c>
      <c r="N36">
        <v>19.369969294469801</v>
      </c>
      <c r="O36">
        <v>22.484070723339201</v>
      </c>
      <c r="P36">
        <v>17.8956757559218</v>
      </c>
      <c r="Q36">
        <v>27.674863658665899</v>
      </c>
      <c r="R36">
        <v>2.4946907915163599</v>
      </c>
      <c r="S36">
        <v>1.4073950278960601</v>
      </c>
      <c r="T36">
        <v>2.8643049610373299</v>
      </c>
      <c r="U36">
        <v>0.43604572513025303</v>
      </c>
      <c r="V36">
        <v>-5.1779919985029199</v>
      </c>
      <c r="W36">
        <v>6.0500834487634298</v>
      </c>
      <c r="X36">
        <v>45</v>
      </c>
      <c r="Y36">
        <v>33</v>
      </c>
    </row>
    <row r="37" spans="1:25" x14ac:dyDescent="0.25">
      <c r="A37">
        <v>12112</v>
      </c>
      <c r="B37">
        <v>270</v>
      </c>
      <c r="C37" t="s">
        <v>75</v>
      </c>
      <c r="D37" s="11" t="s">
        <v>85</v>
      </c>
      <c r="E37" t="s">
        <v>76</v>
      </c>
      <c r="F37" t="s">
        <v>77</v>
      </c>
      <c r="G37" t="s">
        <v>79</v>
      </c>
      <c r="H37">
        <v>0.1</v>
      </c>
      <c r="I37">
        <v>10.2883088299281</v>
      </c>
      <c r="J37">
        <v>12.3420293595633</v>
      </c>
      <c r="K37">
        <v>-2.3937192722579299</v>
      </c>
      <c r="L37">
        <v>8.3740759438206602</v>
      </c>
      <c r="M37">
        <v>9.8269021175390705</v>
      </c>
      <c r="N37">
        <v>7.12898616248183</v>
      </c>
      <c r="O37">
        <v>8.8794125501062098</v>
      </c>
      <c r="P37">
        <v>6.6929819381348699</v>
      </c>
      <c r="Q37">
        <v>11.2813643641095</v>
      </c>
      <c r="R37">
        <v>1.1705057209118901</v>
      </c>
      <c r="S37">
        <v>0.68824386608603005</v>
      </c>
      <c r="T37">
        <v>1.3578524448159</v>
      </c>
      <c r="U37">
        <v>0.505336606285548</v>
      </c>
      <c r="V37">
        <v>-2.1560541855536099</v>
      </c>
      <c r="W37">
        <v>3.1667273981247002</v>
      </c>
      <c r="X37">
        <v>12</v>
      </c>
      <c r="Y37">
        <v>34</v>
      </c>
    </row>
    <row r="38" spans="1:25" x14ac:dyDescent="0.25">
      <c r="A38">
        <v>11211</v>
      </c>
      <c r="B38">
        <v>256</v>
      </c>
      <c r="C38" t="s">
        <v>75</v>
      </c>
      <c r="D38" s="11" t="s">
        <v>84</v>
      </c>
      <c r="E38" t="s">
        <v>82</v>
      </c>
      <c r="F38" t="s">
        <v>77</v>
      </c>
      <c r="G38" t="s">
        <v>78</v>
      </c>
      <c r="H38">
        <v>9.375E-2</v>
      </c>
      <c r="I38">
        <v>9.7650590278374008</v>
      </c>
      <c r="J38">
        <v>12.3420293595633</v>
      </c>
      <c r="K38">
        <v>-2.5994561935027298</v>
      </c>
      <c r="L38">
        <v>6.9478120292489596</v>
      </c>
      <c r="M38">
        <v>8.3227562230244807</v>
      </c>
      <c r="N38">
        <v>5.8718072277307796</v>
      </c>
      <c r="O38">
        <v>7.5959291289163797</v>
      </c>
      <c r="P38">
        <v>5.7287424974518801</v>
      </c>
      <c r="Q38">
        <v>10.0442939790848</v>
      </c>
      <c r="R38">
        <v>1.10090599021248</v>
      </c>
      <c r="S38">
        <v>0.625242090636147</v>
      </c>
      <c r="T38">
        <v>1.2660654292684801</v>
      </c>
      <c r="U38">
        <v>0.64811709966741704</v>
      </c>
      <c r="V38">
        <v>-1.8333711416988101</v>
      </c>
      <c r="W38">
        <v>3.1296053410336402</v>
      </c>
      <c r="X38">
        <v>8</v>
      </c>
      <c r="Y38">
        <v>35</v>
      </c>
    </row>
    <row r="39" spans="1:25" x14ac:dyDescent="0.25">
      <c r="A39">
        <v>22111</v>
      </c>
      <c r="B39">
        <v>88</v>
      </c>
      <c r="C39" t="s">
        <v>83</v>
      </c>
      <c r="D39" s="11" t="s">
        <v>85</v>
      </c>
      <c r="E39" t="s">
        <v>76</v>
      </c>
      <c r="F39" t="s">
        <v>77</v>
      </c>
      <c r="G39" t="s">
        <v>78</v>
      </c>
      <c r="H39">
        <v>0.15909090909090901</v>
      </c>
      <c r="I39">
        <v>14.951729406579</v>
      </c>
      <c r="J39">
        <v>12.3420293595633</v>
      </c>
      <c r="K39">
        <v>-2.0415797042492301</v>
      </c>
      <c r="L39">
        <v>11.525200827637899</v>
      </c>
      <c r="M39">
        <v>13.6152070188813</v>
      </c>
      <c r="N39">
        <v>9.7418540092550696</v>
      </c>
      <c r="O39">
        <v>12.2970670871132</v>
      </c>
      <c r="P39">
        <v>9.2956284465233807</v>
      </c>
      <c r="Q39">
        <v>16.0780232173807</v>
      </c>
      <c r="R39">
        <v>1.73020274766769</v>
      </c>
      <c r="S39">
        <v>0.98810025755770903</v>
      </c>
      <c r="T39">
        <v>1.99247174811149</v>
      </c>
      <c r="U39">
        <v>0.77186625947533305</v>
      </c>
      <c r="V39">
        <v>-3.1333783668231798</v>
      </c>
      <c r="W39">
        <v>4.6771108857738497</v>
      </c>
      <c r="X39">
        <v>27</v>
      </c>
      <c r="Y39">
        <v>36</v>
      </c>
    </row>
    <row r="40" spans="1:25" x14ac:dyDescent="0.25">
      <c r="A40">
        <v>11131</v>
      </c>
      <c r="B40">
        <v>430</v>
      </c>
      <c r="C40" t="s">
        <v>75</v>
      </c>
      <c r="D40" s="11" t="s">
        <v>84</v>
      </c>
      <c r="E40" t="s">
        <v>76</v>
      </c>
      <c r="F40" t="s">
        <v>81</v>
      </c>
      <c r="G40" t="s">
        <v>78</v>
      </c>
      <c r="H40">
        <v>8.1395348837209294E-2</v>
      </c>
      <c r="I40">
        <v>8.5058083178646395</v>
      </c>
      <c r="J40">
        <v>12.3420293595633</v>
      </c>
      <c r="K40">
        <v>-2.7627454164082001</v>
      </c>
      <c r="L40">
        <v>5.9461920373954902</v>
      </c>
      <c r="M40">
        <v>6.9172604966689502</v>
      </c>
      <c r="N40">
        <v>5.0666440720552002</v>
      </c>
      <c r="O40">
        <v>6.7592383484814196</v>
      </c>
      <c r="P40">
        <v>5.0848669272600002</v>
      </c>
      <c r="Q40">
        <v>9.0017209912233902</v>
      </c>
      <c r="R40">
        <v>0.99919746529678299</v>
      </c>
      <c r="S40">
        <v>0.47209602668718098</v>
      </c>
      <c r="T40">
        <v>1.1051109596186901</v>
      </c>
      <c r="U40">
        <v>0.81304631108592795</v>
      </c>
      <c r="V40">
        <v>-1.3529711697667</v>
      </c>
      <c r="W40">
        <v>2.9790637919385601</v>
      </c>
      <c r="X40">
        <v>5</v>
      </c>
      <c r="Y40">
        <v>37</v>
      </c>
    </row>
    <row r="41" spans="1:25" x14ac:dyDescent="0.25">
      <c r="A41">
        <v>21221</v>
      </c>
      <c r="B41">
        <v>337</v>
      </c>
      <c r="C41" t="s">
        <v>83</v>
      </c>
      <c r="D41" s="11" t="s">
        <v>84</v>
      </c>
      <c r="E41" t="s">
        <v>82</v>
      </c>
      <c r="F41" t="s">
        <v>80</v>
      </c>
      <c r="G41" t="s">
        <v>78</v>
      </c>
      <c r="H41">
        <v>0.178041543026706</v>
      </c>
      <c r="I41">
        <v>17.354136624458999</v>
      </c>
      <c r="J41">
        <v>12.3420293595633</v>
      </c>
      <c r="K41">
        <v>-1.6506850447608099</v>
      </c>
      <c r="L41">
        <v>16.075092479930099</v>
      </c>
      <c r="M41">
        <v>18.573600902669501</v>
      </c>
      <c r="N41">
        <v>13.9828529010568</v>
      </c>
      <c r="O41">
        <v>17.0199312866085</v>
      </c>
      <c r="P41">
        <v>13.7099357867728</v>
      </c>
      <c r="Q41">
        <v>21.125673526658399</v>
      </c>
      <c r="R41">
        <v>1.8917698316034699</v>
      </c>
      <c r="S41">
        <v>1.17110918408486</v>
      </c>
      <c r="T41">
        <v>2.2249246766605202</v>
      </c>
      <c r="U41">
        <v>0.94483880667837605</v>
      </c>
      <c r="V41">
        <v>-3.4160135595762502</v>
      </c>
      <c r="W41">
        <v>5.3056911729329999</v>
      </c>
      <c r="X41">
        <v>36</v>
      </c>
      <c r="Y41">
        <v>38</v>
      </c>
    </row>
    <row r="42" spans="1:25" x14ac:dyDescent="0.25">
      <c r="A42">
        <v>11221</v>
      </c>
      <c r="B42">
        <v>355</v>
      </c>
      <c r="C42" t="s">
        <v>75</v>
      </c>
      <c r="D42" s="11" t="s">
        <v>84</v>
      </c>
      <c r="E42" t="s">
        <v>82</v>
      </c>
      <c r="F42" t="s">
        <v>80</v>
      </c>
      <c r="G42" t="s">
        <v>78</v>
      </c>
      <c r="H42">
        <v>0.11267605633802801</v>
      </c>
      <c r="I42">
        <v>11.367349843666901</v>
      </c>
      <c r="J42">
        <v>12.3420293595633</v>
      </c>
      <c r="K42">
        <v>-2.2994225142697502</v>
      </c>
      <c r="L42">
        <v>9.0967646746189494</v>
      </c>
      <c r="M42">
        <v>10.6584508546786</v>
      </c>
      <c r="N42">
        <v>7.8204426944098104</v>
      </c>
      <c r="O42">
        <v>10.064695288574899</v>
      </c>
      <c r="P42">
        <v>7.7793527054069296</v>
      </c>
      <c r="Q42">
        <v>12.725664474636</v>
      </c>
      <c r="R42">
        <v>1.2618142268441499</v>
      </c>
      <c r="S42">
        <v>0.72398167353794696</v>
      </c>
      <c r="T42">
        <v>1.45475929510181</v>
      </c>
      <c r="U42">
        <v>0.96793061395595703</v>
      </c>
      <c r="V42">
        <v>-1.8833976044435801</v>
      </c>
      <c r="W42">
        <v>3.8192588323555001</v>
      </c>
      <c r="X42">
        <v>16</v>
      </c>
      <c r="Y42">
        <v>39</v>
      </c>
    </row>
    <row r="43" spans="1:25" x14ac:dyDescent="0.25">
      <c r="A43">
        <v>12122</v>
      </c>
      <c r="B43">
        <v>349</v>
      </c>
      <c r="C43" t="s">
        <v>75</v>
      </c>
      <c r="D43" s="11" t="s">
        <v>85</v>
      </c>
      <c r="E43" t="s">
        <v>76</v>
      </c>
      <c r="F43" t="s">
        <v>80</v>
      </c>
      <c r="G43" t="s">
        <v>79</v>
      </c>
      <c r="H43">
        <v>0.13467048710601701</v>
      </c>
      <c r="I43">
        <v>13.3674825737315</v>
      </c>
      <c r="J43">
        <v>12.3420293595633</v>
      </c>
      <c r="K43">
        <v>-2.0936855930249498</v>
      </c>
      <c r="L43">
        <v>10.949885847420299</v>
      </c>
      <c r="M43">
        <v>12.7163193794264</v>
      </c>
      <c r="N43">
        <v>9.4333058360428197</v>
      </c>
      <c r="O43">
        <v>12.055115147602001</v>
      </c>
      <c r="P43">
        <v>9.4925949030283494</v>
      </c>
      <c r="Q43">
        <v>15.298309824499301</v>
      </c>
      <c r="R43">
        <v>1.4810497248650401</v>
      </c>
      <c r="S43">
        <v>0.83750345494479905</v>
      </c>
      <c r="T43">
        <v>1.70144653885078</v>
      </c>
      <c r="U43">
        <v>1.10522930018171</v>
      </c>
      <c r="V43">
        <v>-2.2296059159658101</v>
      </c>
      <c r="W43">
        <v>4.4400645163292296</v>
      </c>
      <c r="X43">
        <v>25</v>
      </c>
      <c r="Y43">
        <v>40</v>
      </c>
    </row>
    <row r="44" spans="1:25" x14ac:dyDescent="0.25">
      <c r="A44">
        <v>22132</v>
      </c>
      <c r="B44">
        <v>619</v>
      </c>
      <c r="C44" t="s">
        <v>83</v>
      </c>
      <c r="D44" s="11" t="s">
        <v>85</v>
      </c>
      <c r="E44" t="s">
        <v>76</v>
      </c>
      <c r="F44" t="s">
        <v>81</v>
      </c>
      <c r="G44" t="s">
        <v>79</v>
      </c>
      <c r="H44">
        <v>0.21163166397415201</v>
      </c>
      <c r="I44">
        <v>20.781718274237399</v>
      </c>
      <c r="J44">
        <v>12.3420293595633</v>
      </c>
      <c r="K44">
        <v>-1.4339923696063099</v>
      </c>
      <c r="L44">
        <v>19.2287335208174</v>
      </c>
      <c r="M44">
        <v>21.6788915782783</v>
      </c>
      <c r="N44">
        <v>16.986263644077201</v>
      </c>
      <c r="O44">
        <v>20.530845557226499</v>
      </c>
      <c r="P44">
        <v>17.266291254954499</v>
      </c>
      <c r="Q44">
        <v>24.599326437337801</v>
      </c>
      <c r="R44">
        <v>1.87067224040391</v>
      </c>
      <c r="S44">
        <v>1.1970989628063999</v>
      </c>
      <c r="T44">
        <v>2.2209143517411798</v>
      </c>
      <c r="U44">
        <v>1.3021120364090299</v>
      </c>
      <c r="V44">
        <v>-3.0508800930036899</v>
      </c>
      <c r="W44">
        <v>5.65510416582174</v>
      </c>
      <c r="X44">
        <v>42</v>
      </c>
      <c r="Y44">
        <v>41</v>
      </c>
    </row>
    <row r="45" spans="1:25" x14ac:dyDescent="0.25">
      <c r="A45">
        <v>11231</v>
      </c>
      <c r="B45">
        <v>528</v>
      </c>
      <c r="C45" t="s">
        <v>75</v>
      </c>
      <c r="D45" s="11" t="s">
        <v>84</v>
      </c>
      <c r="E45" t="s">
        <v>82</v>
      </c>
      <c r="F45" t="s">
        <v>81</v>
      </c>
      <c r="G45" t="s">
        <v>78</v>
      </c>
      <c r="H45">
        <v>0.125</v>
      </c>
      <c r="I45">
        <v>12.4902079569913</v>
      </c>
      <c r="J45">
        <v>12.3420293595633</v>
      </c>
      <c r="K45">
        <v>-2.2884667603600599</v>
      </c>
      <c r="L45">
        <v>9.2391218134955597</v>
      </c>
      <c r="M45">
        <v>10.7020267556743</v>
      </c>
      <c r="N45">
        <v>7.9713197823373099</v>
      </c>
      <c r="O45">
        <v>10.8319878717219</v>
      </c>
      <c r="P45">
        <v>8.6254236012688708</v>
      </c>
      <c r="Q45">
        <v>13.4889469120456</v>
      </c>
      <c r="R45">
        <v>1.24069472213692</v>
      </c>
      <c r="S45">
        <v>0.69660892176965195</v>
      </c>
      <c r="T45">
        <v>1.42287996100426</v>
      </c>
      <c r="U45">
        <v>1.5928660582263301</v>
      </c>
      <c r="V45">
        <v>-1.1959786653420299</v>
      </c>
      <c r="W45">
        <v>4.3817107817946797</v>
      </c>
      <c r="X45">
        <v>19</v>
      </c>
      <c r="Y45">
        <v>42</v>
      </c>
    </row>
    <row r="46" spans="1:25" x14ac:dyDescent="0.25">
      <c r="A46">
        <v>22232</v>
      </c>
      <c r="B46">
        <v>662</v>
      </c>
      <c r="C46" t="s">
        <v>83</v>
      </c>
      <c r="D46" s="11" t="s">
        <v>85</v>
      </c>
      <c r="E46" t="s">
        <v>82</v>
      </c>
      <c r="F46" t="s">
        <v>81</v>
      </c>
      <c r="G46" t="s">
        <v>79</v>
      </c>
      <c r="H46">
        <v>0.297583081570997</v>
      </c>
      <c r="I46">
        <v>29.143875372821</v>
      </c>
      <c r="J46">
        <v>12.3420293595633</v>
      </c>
      <c r="K46">
        <v>-0.95971371355817003</v>
      </c>
      <c r="L46">
        <v>27.580654560301099</v>
      </c>
      <c r="M46">
        <v>30.734639040623801</v>
      </c>
      <c r="N46">
        <v>24.903872260568601</v>
      </c>
      <c r="O46">
        <v>29.1851179744463</v>
      </c>
      <c r="P46">
        <v>25.154956195478501</v>
      </c>
      <c r="Q46">
        <v>33.569765903635002</v>
      </c>
      <c r="R46">
        <v>2.1466351296317701</v>
      </c>
      <c r="S46">
        <v>1.4874405051161199</v>
      </c>
      <c r="T46">
        <v>2.61161284191002</v>
      </c>
      <c r="U46">
        <v>1.6044634141452401</v>
      </c>
      <c r="V46">
        <v>-3.5142977559983901</v>
      </c>
      <c r="W46">
        <v>6.7232245842888796</v>
      </c>
      <c r="X46">
        <v>47</v>
      </c>
      <c r="Y46">
        <v>43</v>
      </c>
    </row>
    <row r="47" spans="1:25" x14ac:dyDescent="0.25">
      <c r="A47">
        <v>21231</v>
      </c>
      <c r="B47">
        <v>517</v>
      </c>
      <c r="C47" t="s">
        <v>83</v>
      </c>
      <c r="D47" s="11" t="s">
        <v>84</v>
      </c>
      <c r="E47" t="s">
        <v>82</v>
      </c>
      <c r="F47" t="s">
        <v>81</v>
      </c>
      <c r="G47" t="s">
        <v>78</v>
      </c>
      <c r="H47">
        <v>0.195357833655706</v>
      </c>
      <c r="I47">
        <v>19.153869913630999</v>
      </c>
      <c r="J47">
        <v>12.3420293595633</v>
      </c>
      <c r="K47">
        <v>-1.6397292908511101</v>
      </c>
      <c r="L47">
        <v>16.2054637432778</v>
      </c>
      <c r="M47">
        <v>18.5879608669477</v>
      </c>
      <c r="N47">
        <v>14.2162455324788</v>
      </c>
      <c r="O47">
        <v>18.168607640923302</v>
      </c>
      <c r="P47">
        <v>14.9853102013808</v>
      </c>
      <c r="Q47">
        <v>22.0402882916209</v>
      </c>
      <c r="R47">
        <v>1.79973930873472</v>
      </c>
      <c r="S47">
        <v>1.1152335036910599</v>
      </c>
      <c r="T47">
        <v>2.11726411842263</v>
      </c>
      <c r="U47">
        <v>1.96314389764553</v>
      </c>
      <c r="V47">
        <v>-2.1866937744628299</v>
      </c>
      <c r="W47">
        <v>6.1129815697538801</v>
      </c>
      <c r="X47">
        <v>40</v>
      </c>
      <c r="Y47">
        <v>44</v>
      </c>
    </row>
    <row r="48" spans="1:25" x14ac:dyDescent="0.25">
      <c r="A48">
        <v>22231</v>
      </c>
      <c r="B48">
        <v>350</v>
      </c>
      <c r="C48" t="s">
        <v>83</v>
      </c>
      <c r="D48" s="11" t="s">
        <v>85</v>
      </c>
      <c r="E48" t="s">
        <v>82</v>
      </c>
      <c r="F48" t="s">
        <v>81</v>
      </c>
      <c r="G48" t="s">
        <v>78</v>
      </c>
      <c r="H48">
        <v>0.25714285714285701</v>
      </c>
      <c r="I48">
        <v>24.792064465728298</v>
      </c>
      <c r="J48">
        <v>12.3420293595633</v>
      </c>
      <c r="K48">
        <v>-1.2563116150584099</v>
      </c>
      <c r="L48">
        <v>22.1349341715704</v>
      </c>
      <c r="M48">
        <v>25.051653477565299</v>
      </c>
      <c r="N48">
        <v>19.621437759110702</v>
      </c>
      <c r="O48">
        <v>24.178548954218599</v>
      </c>
      <c r="P48">
        <v>20.244618961257199</v>
      </c>
      <c r="Q48">
        <v>29.434350038031099</v>
      </c>
      <c r="R48">
        <v>2.3443191522382398</v>
      </c>
      <c r="S48">
        <v>1.3852591118506701</v>
      </c>
      <c r="T48">
        <v>2.7230084639083199</v>
      </c>
      <c r="U48">
        <v>2.0436147826481501</v>
      </c>
      <c r="V48">
        <v>-3.2934818066121498</v>
      </c>
      <c r="W48">
        <v>7.3807113719084496</v>
      </c>
      <c r="X48">
        <v>46</v>
      </c>
      <c r="Y48">
        <v>45</v>
      </c>
    </row>
    <row r="49" spans="1:25" x14ac:dyDescent="0.25">
      <c r="A49">
        <v>22222</v>
      </c>
      <c r="B49">
        <v>471</v>
      </c>
      <c r="C49" t="s">
        <v>83</v>
      </c>
      <c r="D49" s="11" t="s">
        <v>85</v>
      </c>
      <c r="E49" t="s">
        <v>82</v>
      </c>
      <c r="F49" t="s">
        <v>80</v>
      </c>
      <c r="G49" t="s">
        <v>79</v>
      </c>
      <c r="H49">
        <v>0.30997876857749501</v>
      </c>
      <c r="I49">
        <v>30.097428974786801</v>
      </c>
      <c r="J49">
        <v>12.3420293595633</v>
      </c>
      <c r="K49">
        <v>-0.97066946746786598</v>
      </c>
      <c r="L49">
        <v>27.466067546812798</v>
      </c>
      <c r="M49">
        <v>30.523509633711701</v>
      </c>
      <c r="N49">
        <v>24.448500840010201</v>
      </c>
      <c r="O49">
        <v>29.906069468016899</v>
      </c>
      <c r="P49">
        <v>25.167315098250999</v>
      </c>
      <c r="Q49">
        <v>35.032143846624201</v>
      </c>
      <c r="R49">
        <v>2.5165379460135799</v>
      </c>
      <c r="S49">
        <v>1.5497471412504</v>
      </c>
      <c r="T49">
        <v>2.95544910894098</v>
      </c>
      <c r="U49">
        <v>2.44000192120411</v>
      </c>
      <c r="V49">
        <v>-3.3526783323202101</v>
      </c>
      <c r="W49">
        <v>8.2326821747284296</v>
      </c>
      <c r="X49">
        <v>48</v>
      </c>
      <c r="Y49">
        <v>46</v>
      </c>
    </row>
    <row r="50" spans="1:25" x14ac:dyDescent="0.25">
      <c r="A50">
        <v>22112</v>
      </c>
      <c r="B50">
        <v>265</v>
      </c>
      <c r="C50" t="s">
        <v>83</v>
      </c>
      <c r="D50" s="11" t="s">
        <v>85</v>
      </c>
      <c r="E50" t="s">
        <v>76</v>
      </c>
      <c r="F50" t="s">
        <v>77</v>
      </c>
      <c r="G50" t="s">
        <v>79</v>
      </c>
      <c r="H50">
        <v>0.211320754716981</v>
      </c>
      <c r="I50">
        <v>20.2846857434565</v>
      </c>
      <c r="J50">
        <v>12.3420293595633</v>
      </c>
      <c r="K50">
        <v>-1.7449818027489901</v>
      </c>
      <c r="L50">
        <v>14.8602086773703</v>
      </c>
      <c r="M50">
        <v>17.150898765859399</v>
      </c>
      <c r="N50">
        <v>12.7749742653948</v>
      </c>
      <c r="O50">
        <v>17.761213526353998</v>
      </c>
      <c r="P50">
        <v>14.0610168106753</v>
      </c>
      <c r="Q50">
        <v>21.913275550301801</v>
      </c>
      <c r="R50">
        <v>2.0031272294965499</v>
      </c>
      <c r="S50">
        <v>1.1163072705267001</v>
      </c>
      <c r="T50">
        <v>2.2931769708815102</v>
      </c>
      <c r="U50">
        <v>2.9010048489837201</v>
      </c>
      <c r="V50">
        <v>-1.59362201394404</v>
      </c>
      <c r="W50">
        <v>7.3956317119114798</v>
      </c>
      <c r="X50">
        <v>38</v>
      </c>
      <c r="Y50">
        <v>47</v>
      </c>
    </row>
    <row r="51" spans="1:25" x14ac:dyDescent="0.25">
      <c r="A51">
        <v>22122</v>
      </c>
      <c r="B51">
        <v>319</v>
      </c>
      <c r="C51" t="s">
        <v>83</v>
      </c>
      <c r="D51" s="11" t="s">
        <v>85</v>
      </c>
      <c r="E51" t="s">
        <v>76</v>
      </c>
      <c r="F51" t="s">
        <v>80</v>
      </c>
      <c r="G51" t="s">
        <v>79</v>
      </c>
      <c r="H51">
        <v>0.25078369905956099</v>
      </c>
      <c r="I51">
        <v>24.110420655540899</v>
      </c>
      <c r="J51">
        <v>12.3420293595633</v>
      </c>
      <c r="K51">
        <v>-1.44494812351601</v>
      </c>
      <c r="L51">
        <v>19.033854931476</v>
      </c>
      <c r="M51">
        <v>21.6547422309403</v>
      </c>
      <c r="N51">
        <v>16.675879427631699</v>
      </c>
      <c r="O51">
        <v>22.1445717385905</v>
      </c>
      <c r="P51">
        <v>18.2817083683825</v>
      </c>
      <c r="Q51">
        <v>27.104139083743402</v>
      </c>
      <c r="R51">
        <v>2.25062008044921</v>
      </c>
      <c r="S51">
        <v>1.2701180620685399</v>
      </c>
      <c r="T51">
        <v>2.5842775853444899</v>
      </c>
      <c r="U51">
        <v>3.11071680711445</v>
      </c>
      <c r="V51">
        <v>-1.95446726016075</v>
      </c>
      <c r="W51">
        <v>8.1759008743896509</v>
      </c>
      <c r="X51">
        <v>44</v>
      </c>
      <c r="Y51">
        <v>48</v>
      </c>
    </row>
  </sheetData>
  <sortState xmlns:xlrd2="http://schemas.microsoft.com/office/spreadsheetml/2017/richdata2" ref="A4:Y51">
    <sortCondition ref="Y4:Y51"/>
  </sortState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604B9-DC1E-4AEE-8E54-74A5D558C725}">
  <dimension ref="A1:AM49"/>
  <sheetViews>
    <sheetView zoomScaleNormal="100" workbookViewId="0">
      <selection activeCell="Q19" sqref="Q19"/>
    </sheetView>
  </sheetViews>
  <sheetFormatPr baseColWidth="10" defaultRowHeight="15" x14ac:dyDescent="0.25"/>
  <cols>
    <col min="9" max="15" width="0" hidden="1" customWidth="1"/>
    <col min="16" max="16" width="15.7109375" bestFit="1" customWidth="1"/>
    <col min="17" max="18" width="13.28515625" bestFit="1" customWidth="1"/>
    <col min="21" max="22" width="12.28515625" customWidth="1"/>
    <col min="24" max="24" width="14.28515625" customWidth="1"/>
  </cols>
  <sheetData>
    <row r="1" spans="1:39" x14ac:dyDescent="0.25">
      <c r="A1" t="s">
        <v>47</v>
      </c>
      <c r="B1" t="s">
        <v>58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146</v>
      </c>
      <c r="J1" t="s">
        <v>147</v>
      </c>
      <c r="K1" t="s">
        <v>148</v>
      </c>
      <c r="L1" t="s">
        <v>149</v>
      </c>
      <c r="M1" t="s">
        <v>150</v>
      </c>
      <c r="N1" t="s">
        <v>151</v>
      </c>
      <c r="O1" t="s">
        <v>152</v>
      </c>
      <c r="P1" t="s">
        <v>156</v>
      </c>
      <c r="Q1" t="s">
        <v>154</v>
      </c>
      <c r="R1" t="s">
        <v>155</v>
      </c>
      <c r="S1" t="s">
        <v>153</v>
      </c>
      <c r="T1" t="s">
        <v>141</v>
      </c>
      <c r="U1" t="s">
        <v>142</v>
      </c>
      <c r="V1" t="s">
        <v>143</v>
      </c>
      <c r="W1" t="s">
        <v>144</v>
      </c>
      <c r="AM1" t="s">
        <v>145</v>
      </c>
    </row>
    <row r="2" spans="1:39" x14ac:dyDescent="0.25">
      <c r="A2">
        <v>21222</v>
      </c>
      <c r="B2">
        <v>615</v>
      </c>
      <c r="C2" t="s">
        <v>83</v>
      </c>
      <c r="D2" s="11" t="s">
        <v>84</v>
      </c>
      <c r="E2" t="s">
        <v>82</v>
      </c>
      <c r="F2" t="s">
        <v>80</v>
      </c>
      <c r="G2" t="s">
        <v>79</v>
      </c>
      <c r="H2">
        <v>14.58</v>
      </c>
      <c r="I2">
        <v>-1.78</v>
      </c>
      <c r="J2">
        <v>-1.96</v>
      </c>
      <c r="K2">
        <v>-1.72</v>
      </c>
      <c r="L2">
        <v>-1.61</v>
      </c>
      <c r="M2">
        <v>0.08</v>
      </c>
      <c r="N2">
        <v>0.09</v>
      </c>
      <c r="O2">
        <v>-0.11</v>
      </c>
      <c r="P2" s="13">
        <v>15.22742</v>
      </c>
      <c r="Q2" s="13">
        <v>12.505369999999999</v>
      </c>
      <c r="R2" s="13">
        <v>18.417259999999999</v>
      </c>
      <c r="S2" s="12">
        <v>34</v>
      </c>
      <c r="T2" s="13">
        <v>-2.3191410000000001</v>
      </c>
      <c r="U2" s="13">
        <v>-5.4478900000000001</v>
      </c>
      <c r="V2" s="13">
        <v>1.28115</v>
      </c>
      <c r="W2">
        <v>1</v>
      </c>
      <c r="AM2">
        <v>48</v>
      </c>
    </row>
    <row r="3" spans="1:39" x14ac:dyDescent="0.25">
      <c r="A3">
        <v>21132</v>
      </c>
      <c r="B3">
        <v>783</v>
      </c>
      <c r="C3" t="s">
        <v>83</v>
      </c>
      <c r="D3" s="11" t="s">
        <v>84</v>
      </c>
      <c r="E3" t="s">
        <v>76</v>
      </c>
      <c r="F3" t="s">
        <v>81</v>
      </c>
      <c r="G3" t="s">
        <v>79</v>
      </c>
      <c r="H3">
        <v>12.93</v>
      </c>
      <c r="I3">
        <v>-1.92</v>
      </c>
      <c r="J3">
        <v>-1.96</v>
      </c>
      <c r="K3">
        <v>-1.91</v>
      </c>
      <c r="L3">
        <v>-1.92</v>
      </c>
      <c r="M3">
        <v>0.09</v>
      </c>
      <c r="N3">
        <v>0.12</v>
      </c>
      <c r="O3">
        <v>0</v>
      </c>
      <c r="P3" s="13">
        <v>12.84694</v>
      </c>
      <c r="Q3" s="13">
        <v>9.9812239999999992</v>
      </c>
      <c r="R3" s="13">
        <v>16.385670000000001</v>
      </c>
      <c r="S3" s="12">
        <v>30</v>
      </c>
      <c r="T3" s="13">
        <v>-2.2755000000000001</v>
      </c>
      <c r="U3" s="13">
        <v>-4.573353</v>
      </c>
      <c r="V3" s="13">
        <v>0.26616529999999999</v>
      </c>
      <c r="W3">
        <v>2</v>
      </c>
      <c r="AM3">
        <v>48</v>
      </c>
    </row>
    <row r="4" spans="1:39" x14ac:dyDescent="0.25">
      <c r="A4">
        <v>12222</v>
      </c>
      <c r="B4">
        <v>507</v>
      </c>
      <c r="C4" t="s">
        <v>75</v>
      </c>
      <c r="D4" s="11" t="s">
        <v>85</v>
      </c>
      <c r="E4" t="s">
        <v>82</v>
      </c>
      <c r="F4" t="s">
        <v>80</v>
      </c>
      <c r="G4" t="s">
        <v>79</v>
      </c>
      <c r="H4">
        <v>9.17</v>
      </c>
      <c r="I4">
        <v>-2.25</v>
      </c>
      <c r="J4">
        <v>-1.96</v>
      </c>
      <c r="K4">
        <v>-2.06</v>
      </c>
      <c r="L4">
        <v>-1.95</v>
      </c>
      <c r="M4">
        <v>0.09</v>
      </c>
      <c r="N4">
        <v>0.12</v>
      </c>
      <c r="O4">
        <v>-0.11</v>
      </c>
      <c r="P4" s="13">
        <v>11.28839</v>
      </c>
      <c r="Q4" s="13">
        <v>8.6384939999999997</v>
      </c>
      <c r="R4" s="13">
        <v>14.62107</v>
      </c>
      <c r="S4" s="12">
        <v>22</v>
      </c>
      <c r="T4" s="13">
        <v>-2.2260840000000002</v>
      </c>
      <c r="U4" s="13">
        <v>-5.1490660000000004</v>
      </c>
      <c r="V4" s="13">
        <v>1.0255369999999999</v>
      </c>
      <c r="W4">
        <v>3</v>
      </c>
      <c r="AM4">
        <v>48</v>
      </c>
    </row>
    <row r="5" spans="1:39" x14ac:dyDescent="0.25">
      <c r="A5">
        <v>12212</v>
      </c>
      <c r="B5">
        <v>461</v>
      </c>
      <c r="C5" t="s">
        <v>75</v>
      </c>
      <c r="D5" s="11" t="s">
        <v>85</v>
      </c>
      <c r="E5" t="s">
        <v>82</v>
      </c>
      <c r="F5" t="s">
        <v>77</v>
      </c>
      <c r="G5" t="s">
        <v>79</v>
      </c>
      <c r="H5">
        <v>11.45</v>
      </c>
      <c r="I5">
        <v>-2.0499999999999998</v>
      </c>
      <c r="J5">
        <v>-1.96</v>
      </c>
      <c r="K5">
        <v>-2.1</v>
      </c>
      <c r="L5">
        <v>-2.13</v>
      </c>
      <c r="M5">
        <v>0.09</v>
      </c>
      <c r="N5">
        <v>0.11</v>
      </c>
      <c r="O5">
        <v>0.03</v>
      </c>
      <c r="P5" s="13">
        <v>10.952640000000001</v>
      </c>
      <c r="Q5" s="13">
        <v>8.4854559999999992</v>
      </c>
      <c r="R5" s="13">
        <v>14.02722</v>
      </c>
      <c r="S5" s="12">
        <v>20</v>
      </c>
      <c r="T5" s="13">
        <v>-1.5577639999999999</v>
      </c>
      <c r="U5" s="13">
        <v>-4.032743</v>
      </c>
      <c r="V5" s="13">
        <v>1.2399830000000001</v>
      </c>
      <c r="W5">
        <v>4</v>
      </c>
      <c r="AM5">
        <v>48</v>
      </c>
    </row>
    <row r="6" spans="1:39" x14ac:dyDescent="0.25">
      <c r="A6">
        <v>21121</v>
      </c>
      <c r="B6">
        <v>207</v>
      </c>
      <c r="C6" t="s">
        <v>83</v>
      </c>
      <c r="D6" s="11" t="s">
        <v>84</v>
      </c>
      <c r="E6" t="s">
        <v>76</v>
      </c>
      <c r="F6" t="s">
        <v>80</v>
      </c>
      <c r="G6" t="s">
        <v>78</v>
      </c>
      <c r="H6">
        <v>15.91</v>
      </c>
      <c r="I6">
        <v>-1.76</v>
      </c>
      <c r="J6">
        <v>-1.96</v>
      </c>
      <c r="K6">
        <v>-1.97</v>
      </c>
      <c r="L6">
        <v>-2.04</v>
      </c>
      <c r="M6">
        <v>0.1</v>
      </c>
      <c r="N6">
        <v>0.14000000000000001</v>
      </c>
      <c r="O6">
        <v>7.0000000000000007E-2</v>
      </c>
      <c r="P6" s="13">
        <v>12.22836</v>
      </c>
      <c r="Q6" s="13">
        <v>9.1140939999999997</v>
      </c>
      <c r="R6" s="13">
        <v>16.216889999999999</v>
      </c>
      <c r="S6" s="12">
        <v>27</v>
      </c>
      <c r="T6" s="13">
        <v>-1.5261210000000001</v>
      </c>
      <c r="U6" s="13">
        <v>-3.8638159999999999</v>
      </c>
      <c r="V6" s="13">
        <v>1.386782</v>
      </c>
      <c r="W6">
        <v>5</v>
      </c>
      <c r="AM6">
        <v>48</v>
      </c>
    </row>
    <row r="7" spans="1:39" x14ac:dyDescent="0.25">
      <c r="A7">
        <v>22131</v>
      </c>
      <c r="B7">
        <v>309</v>
      </c>
      <c r="C7" t="s">
        <v>83</v>
      </c>
      <c r="D7" s="11" t="s">
        <v>85</v>
      </c>
      <c r="E7" t="s">
        <v>76</v>
      </c>
      <c r="F7" t="s">
        <v>81</v>
      </c>
      <c r="G7" t="s">
        <v>78</v>
      </c>
      <c r="H7">
        <v>19.84</v>
      </c>
      <c r="I7">
        <v>-1.41</v>
      </c>
      <c r="J7">
        <v>-1.96</v>
      </c>
      <c r="K7">
        <v>-1.38</v>
      </c>
      <c r="L7">
        <v>-1.34</v>
      </c>
      <c r="M7">
        <v>0.08</v>
      </c>
      <c r="N7">
        <v>7.0000000000000007E-2</v>
      </c>
      <c r="O7">
        <v>-0.04</v>
      </c>
      <c r="P7" s="13">
        <v>20.027629999999998</v>
      </c>
      <c r="Q7" s="13">
        <v>16.864650000000001</v>
      </c>
      <c r="R7" s="13">
        <v>23.61533</v>
      </c>
      <c r="S7" s="12">
        <v>41</v>
      </c>
      <c r="T7" s="13">
        <v>-1.4253100000000001</v>
      </c>
      <c r="U7" s="13">
        <v>-4.3742460000000003</v>
      </c>
      <c r="V7" s="13">
        <v>1.896414</v>
      </c>
      <c r="W7">
        <v>6</v>
      </c>
      <c r="AM7">
        <v>48</v>
      </c>
    </row>
    <row r="8" spans="1:39" x14ac:dyDescent="0.25">
      <c r="A8">
        <v>12232</v>
      </c>
      <c r="B8">
        <v>720</v>
      </c>
      <c r="C8" t="s">
        <v>75</v>
      </c>
      <c r="D8" s="11" t="s">
        <v>85</v>
      </c>
      <c r="E8" t="s">
        <v>82</v>
      </c>
      <c r="F8" t="s">
        <v>81</v>
      </c>
      <c r="G8" t="s">
        <v>79</v>
      </c>
      <c r="H8">
        <v>11.74</v>
      </c>
      <c r="I8">
        <v>-2.02</v>
      </c>
      <c r="J8">
        <v>-1.96</v>
      </c>
      <c r="K8">
        <v>-2.0099999999999998</v>
      </c>
      <c r="L8">
        <v>-1.99</v>
      </c>
      <c r="M8">
        <v>0.08</v>
      </c>
      <c r="N8">
        <v>0.09</v>
      </c>
      <c r="O8">
        <v>-0.02</v>
      </c>
      <c r="P8" s="13">
        <v>11.81012</v>
      </c>
      <c r="Q8" s="13">
        <v>9.6349610000000006</v>
      </c>
      <c r="R8" s="13">
        <v>14.398099999999999</v>
      </c>
      <c r="S8" s="12">
        <v>24</v>
      </c>
      <c r="T8" s="13">
        <v>-1.3827039999999999</v>
      </c>
      <c r="U8" s="13">
        <v>-4.1666160000000003</v>
      </c>
      <c r="V8" s="13">
        <v>1.724699</v>
      </c>
      <c r="W8">
        <v>7</v>
      </c>
      <c r="AM8">
        <v>48</v>
      </c>
    </row>
    <row r="9" spans="1:39" x14ac:dyDescent="0.25">
      <c r="A9">
        <v>21122</v>
      </c>
      <c r="B9">
        <v>466</v>
      </c>
      <c r="C9" t="s">
        <v>83</v>
      </c>
      <c r="D9" s="11" t="s">
        <v>84</v>
      </c>
      <c r="E9" t="s">
        <v>76</v>
      </c>
      <c r="F9" t="s">
        <v>80</v>
      </c>
      <c r="G9" t="s">
        <v>79</v>
      </c>
      <c r="H9">
        <v>11.62</v>
      </c>
      <c r="I9">
        <v>-2.0299999999999998</v>
      </c>
      <c r="J9">
        <v>-1.96</v>
      </c>
      <c r="K9">
        <v>-1.96</v>
      </c>
      <c r="L9">
        <v>-1.91</v>
      </c>
      <c r="M9">
        <v>0.08</v>
      </c>
      <c r="N9">
        <v>0.11</v>
      </c>
      <c r="O9">
        <v>-0.06</v>
      </c>
      <c r="P9" s="13">
        <v>12.33708</v>
      </c>
      <c r="Q9" s="13">
        <v>9.6711460000000002</v>
      </c>
      <c r="R9" s="13">
        <v>15.610900000000001</v>
      </c>
      <c r="S9" s="12">
        <v>28</v>
      </c>
      <c r="T9" s="13">
        <v>-1.140142</v>
      </c>
      <c r="U9" s="13">
        <v>-3.8810159999999998</v>
      </c>
      <c r="V9" s="13">
        <v>1.9342900000000001</v>
      </c>
      <c r="W9">
        <v>8</v>
      </c>
      <c r="AM9">
        <v>48</v>
      </c>
    </row>
    <row r="10" spans="1:39" x14ac:dyDescent="0.25">
      <c r="A10">
        <v>21211</v>
      </c>
      <c r="B10">
        <v>229</v>
      </c>
      <c r="C10" t="s">
        <v>83</v>
      </c>
      <c r="D10" s="11" t="s">
        <v>84</v>
      </c>
      <c r="E10" t="s">
        <v>82</v>
      </c>
      <c r="F10" t="s">
        <v>77</v>
      </c>
      <c r="G10" t="s">
        <v>78</v>
      </c>
      <c r="H10">
        <v>11.97</v>
      </c>
      <c r="I10">
        <v>-2</v>
      </c>
      <c r="J10">
        <v>-1.96</v>
      </c>
      <c r="K10">
        <v>-1.85</v>
      </c>
      <c r="L10">
        <v>-1.73</v>
      </c>
      <c r="M10">
        <v>0.09</v>
      </c>
      <c r="N10">
        <v>0.11</v>
      </c>
      <c r="O10">
        <v>-0.12</v>
      </c>
      <c r="P10" s="13">
        <v>13.61848</v>
      </c>
      <c r="Q10" s="13">
        <v>10.696770000000001</v>
      </c>
      <c r="R10" s="13">
        <v>17.184660000000001</v>
      </c>
      <c r="S10" s="12">
        <v>31</v>
      </c>
      <c r="T10" s="13">
        <v>-1.091904</v>
      </c>
      <c r="U10" s="13">
        <v>-3.9579460000000002</v>
      </c>
      <c r="V10" s="13">
        <v>2.0355650000000001</v>
      </c>
      <c r="W10">
        <v>9</v>
      </c>
      <c r="AM10">
        <v>48</v>
      </c>
    </row>
    <row r="11" spans="1:39" x14ac:dyDescent="0.25">
      <c r="A11">
        <v>12131</v>
      </c>
      <c r="B11">
        <v>314</v>
      </c>
      <c r="C11" t="s">
        <v>75</v>
      </c>
      <c r="D11" s="11" t="s">
        <v>85</v>
      </c>
      <c r="E11" t="s">
        <v>76</v>
      </c>
      <c r="F11" t="s">
        <v>81</v>
      </c>
      <c r="G11" t="s">
        <v>78</v>
      </c>
      <c r="H11">
        <v>10.19</v>
      </c>
      <c r="I11">
        <v>-2.17</v>
      </c>
      <c r="J11">
        <v>-1.96</v>
      </c>
      <c r="K11">
        <v>-2.15</v>
      </c>
      <c r="L11">
        <v>-2.11</v>
      </c>
      <c r="M11">
        <v>0.08</v>
      </c>
      <c r="N11">
        <v>0.11</v>
      </c>
      <c r="O11">
        <v>-0.03</v>
      </c>
      <c r="P11" s="13">
        <v>10.477819999999999</v>
      </c>
      <c r="Q11" s="13">
        <v>8.1987520000000007</v>
      </c>
      <c r="R11" s="13">
        <v>13.29865</v>
      </c>
      <c r="S11" s="12">
        <v>17</v>
      </c>
      <c r="T11" s="13">
        <v>-0.83724200000000004</v>
      </c>
      <c r="U11" s="13">
        <v>-2.6637360000000001</v>
      </c>
      <c r="V11" s="13">
        <v>1.3896059999999999</v>
      </c>
      <c r="W11">
        <v>10</v>
      </c>
      <c r="AM11">
        <v>48</v>
      </c>
    </row>
    <row r="12" spans="1:39" x14ac:dyDescent="0.25">
      <c r="A12">
        <v>12211</v>
      </c>
      <c r="B12">
        <v>201</v>
      </c>
      <c r="C12" t="s">
        <v>75</v>
      </c>
      <c r="D12" s="11" t="s">
        <v>85</v>
      </c>
      <c r="E12" t="s">
        <v>82</v>
      </c>
      <c r="F12" t="s">
        <v>77</v>
      </c>
      <c r="G12" t="s">
        <v>78</v>
      </c>
      <c r="H12">
        <v>12.5</v>
      </c>
      <c r="I12">
        <v>-1.95</v>
      </c>
      <c r="J12">
        <v>-1.96</v>
      </c>
      <c r="K12">
        <v>-2.1</v>
      </c>
      <c r="L12">
        <v>-2.29</v>
      </c>
      <c r="M12">
        <v>0.08</v>
      </c>
      <c r="N12">
        <v>0.1</v>
      </c>
      <c r="O12">
        <v>0.19</v>
      </c>
      <c r="P12" s="13">
        <v>10.88161</v>
      </c>
      <c r="Q12" s="13">
        <v>8.6327730000000003</v>
      </c>
      <c r="R12" s="13">
        <v>13.62889</v>
      </c>
      <c r="S12" s="12">
        <v>19</v>
      </c>
      <c r="T12" s="13">
        <v>-0.71772579999999997</v>
      </c>
      <c r="U12" s="13">
        <v>-3.1761460000000001</v>
      </c>
      <c r="V12" s="13">
        <v>2.2353139999999998</v>
      </c>
      <c r="W12">
        <v>11</v>
      </c>
      <c r="AM12">
        <v>48</v>
      </c>
    </row>
    <row r="13" spans="1:39" x14ac:dyDescent="0.25">
      <c r="A13">
        <v>22121</v>
      </c>
      <c r="B13">
        <v>168</v>
      </c>
      <c r="C13" t="s">
        <v>83</v>
      </c>
      <c r="D13" s="11" t="s">
        <v>85</v>
      </c>
      <c r="E13" t="s">
        <v>76</v>
      </c>
      <c r="F13" t="s">
        <v>80</v>
      </c>
      <c r="G13" t="s">
        <v>78</v>
      </c>
      <c r="H13">
        <v>16.91</v>
      </c>
      <c r="I13">
        <v>-1.61</v>
      </c>
      <c r="J13">
        <v>-1.96</v>
      </c>
      <c r="K13">
        <v>-1.51</v>
      </c>
      <c r="L13">
        <v>-1.35</v>
      </c>
      <c r="M13">
        <v>0.08</v>
      </c>
      <c r="N13">
        <v>0.09</v>
      </c>
      <c r="O13">
        <v>-0.16</v>
      </c>
      <c r="P13" s="13">
        <v>18.040970000000002</v>
      </c>
      <c r="Q13" s="13">
        <v>14.885059999999999</v>
      </c>
      <c r="R13" s="13">
        <v>21.695430000000002</v>
      </c>
      <c r="S13" s="12">
        <v>39</v>
      </c>
      <c r="T13" s="13">
        <v>-0.66537139999999995</v>
      </c>
      <c r="U13" s="13">
        <v>-4.1151730000000004</v>
      </c>
      <c r="V13" s="13">
        <v>3.277469</v>
      </c>
      <c r="W13">
        <v>12</v>
      </c>
      <c r="AM13">
        <v>48</v>
      </c>
    </row>
    <row r="14" spans="1:39" x14ac:dyDescent="0.25">
      <c r="A14">
        <v>21232</v>
      </c>
      <c r="B14">
        <v>857</v>
      </c>
      <c r="C14" t="s">
        <v>83</v>
      </c>
      <c r="D14" s="11" t="s">
        <v>84</v>
      </c>
      <c r="E14" t="s">
        <v>82</v>
      </c>
      <c r="F14" t="s">
        <v>81</v>
      </c>
      <c r="G14" t="s">
        <v>79</v>
      </c>
      <c r="H14">
        <v>17.8</v>
      </c>
      <c r="I14">
        <v>-1.57</v>
      </c>
      <c r="J14">
        <v>-1.96</v>
      </c>
      <c r="K14">
        <v>-1.59</v>
      </c>
      <c r="L14">
        <v>-1.65</v>
      </c>
      <c r="M14">
        <v>0.08</v>
      </c>
      <c r="N14">
        <v>0.1</v>
      </c>
      <c r="O14">
        <v>0.06</v>
      </c>
      <c r="P14" s="13">
        <v>16.94163</v>
      </c>
      <c r="Q14" s="13">
        <v>13.56099</v>
      </c>
      <c r="R14" s="13">
        <v>20.960660000000001</v>
      </c>
      <c r="S14" s="12">
        <v>36</v>
      </c>
      <c r="T14" s="13">
        <v>-0.56663090000000005</v>
      </c>
      <c r="U14" s="13">
        <v>-3.6592660000000001</v>
      </c>
      <c r="V14" s="13">
        <v>2.8678080000000001</v>
      </c>
      <c r="W14">
        <v>13</v>
      </c>
      <c r="AM14">
        <v>48</v>
      </c>
    </row>
    <row r="15" spans="1:39" x14ac:dyDescent="0.25">
      <c r="A15">
        <v>12231</v>
      </c>
      <c r="B15">
        <v>327</v>
      </c>
      <c r="C15" t="s">
        <v>75</v>
      </c>
      <c r="D15" s="11" t="s">
        <v>85</v>
      </c>
      <c r="E15" t="s">
        <v>82</v>
      </c>
      <c r="F15" t="s">
        <v>81</v>
      </c>
      <c r="G15" t="s">
        <v>78</v>
      </c>
      <c r="H15">
        <v>10.6</v>
      </c>
      <c r="I15">
        <v>-2.13</v>
      </c>
      <c r="J15">
        <v>-1.96</v>
      </c>
      <c r="K15">
        <v>-2.02</v>
      </c>
      <c r="L15">
        <v>-1.82</v>
      </c>
      <c r="M15">
        <v>0.08</v>
      </c>
      <c r="N15">
        <v>0.09</v>
      </c>
      <c r="O15">
        <v>-0.2</v>
      </c>
      <c r="P15" s="13">
        <v>11.72434</v>
      </c>
      <c r="Q15" s="13">
        <v>9.5173959999999997</v>
      </c>
      <c r="R15" s="13">
        <v>14.361800000000001</v>
      </c>
      <c r="S15" s="12">
        <v>23</v>
      </c>
      <c r="T15" s="13">
        <v>-0.53462379999999998</v>
      </c>
      <c r="U15" s="13">
        <v>-3.4693969999999998</v>
      </c>
      <c r="V15" s="13">
        <v>2.9027289999999999</v>
      </c>
      <c r="W15">
        <v>14</v>
      </c>
      <c r="AM15">
        <v>48</v>
      </c>
    </row>
    <row r="16" spans="1:39" x14ac:dyDescent="0.25">
      <c r="A16">
        <v>21111</v>
      </c>
      <c r="B16">
        <v>119</v>
      </c>
      <c r="C16" t="s">
        <v>83</v>
      </c>
      <c r="D16" s="11" t="s">
        <v>84</v>
      </c>
      <c r="E16" t="s">
        <v>76</v>
      </c>
      <c r="F16" t="s">
        <v>77</v>
      </c>
      <c r="G16" t="s">
        <v>78</v>
      </c>
      <c r="H16">
        <v>13.47</v>
      </c>
      <c r="I16">
        <v>-1.88</v>
      </c>
      <c r="J16">
        <v>-1.96</v>
      </c>
      <c r="K16">
        <v>-1.99</v>
      </c>
      <c r="L16">
        <v>-2.09</v>
      </c>
      <c r="M16">
        <v>0.09</v>
      </c>
      <c r="N16">
        <v>0.11</v>
      </c>
      <c r="O16">
        <v>0.11</v>
      </c>
      <c r="P16" s="13">
        <v>12.05175</v>
      </c>
      <c r="Q16" s="13">
        <v>9.4415560000000003</v>
      </c>
      <c r="R16" s="13">
        <v>15.26193</v>
      </c>
      <c r="S16" s="12">
        <v>25</v>
      </c>
      <c r="T16" s="13">
        <v>-0.52962849999999995</v>
      </c>
      <c r="U16" s="13">
        <v>-2.6049069999999999</v>
      </c>
      <c r="V16" s="13">
        <v>1.9563630000000001</v>
      </c>
      <c r="W16">
        <v>15</v>
      </c>
      <c r="AM16">
        <v>48</v>
      </c>
    </row>
    <row r="17" spans="1:39" x14ac:dyDescent="0.25">
      <c r="A17">
        <v>12132</v>
      </c>
      <c r="B17">
        <v>667</v>
      </c>
      <c r="C17" t="s">
        <v>75</v>
      </c>
      <c r="D17" s="11" t="s">
        <v>85</v>
      </c>
      <c r="E17" t="s">
        <v>76</v>
      </c>
      <c r="F17" t="s">
        <v>81</v>
      </c>
      <c r="G17" t="s">
        <v>79</v>
      </c>
      <c r="H17">
        <v>10.19</v>
      </c>
      <c r="I17">
        <v>-2.17</v>
      </c>
      <c r="J17">
        <v>-1.96</v>
      </c>
      <c r="K17">
        <v>-2.14</v>
      </c>
      <c r="L17">
        <v>-2.08</v>
      </c>
      <c r="M17">
        <v>0.08</v>
      </c>
      <c r="N17">
        <v>0.1</v>
      </c>
      <c r="O17">
        <v>-0.06</v>
      </c>
      <c r="P17" s="13">
        <v>10.538180000000001</v>
      </c>
      <c r="Q17" s="13">
        <v>8.4302050000000008</v>
      </c>
      <c r="R17" s="13">
        <v>13.097849999999999</v>
      </c>
      <c r="S17" s="12">
        <v>18</v>
      </c>
      <c r="T17" s="13">
        <v>-0.47042260000000002</v>
      </c>
      <c r="U17" s="13">
        <v>-2.6041919999999998</v>
      </c>
      <c r="V17" s="13">
        <v>2.1855899999999999</v>
      </c>
      <c r="W17">
        <v>16</v>
      </c>
      <c r="AM17">
        <v>48</v>
      </c>
    </row>
    <row r="18" spans="1:39" x14ac:dyDescent="0.25">
      <c r="A18">
        <v>22212</v>
      </c>
      <c r="B18">
        <v>432</v>
      </c>
      <c r="C18" t="s">
        <v>83</v>
      </c>
      <c r="D18" s="11" t="s">
        <v>85</v>
      </c>
      <c r="E18" t="s">
        <v>82</v>
      </c>
      <c r="F18" t="s">
        <v>77</v>
      </c>
      <c r="G18" t="s">
        <v>79</v>
      </c>
      <c r="H18">
        <v>22.64</v>
      </c>
      <c r="I18">
        <v>-1.3</v>
      </c>
      <c r="J18">
        <v>-1.96</v>
      </c>
      <c r="K18">
        <v>-1.25</v>
      </c>
      <c r="L18">
        <v>-1.27</v>
      </c>
      <c r="M18">
        <v>0.09</v>
      </c>
      <c r="N18">
        <v>0.11</v>
      </c>
      <c r="O18">
        <v>0.02</v>
      </c>
      <c r="P18" s="13">
        <v>22.245889999999999</v>
      </c>
      <c r="Q18" s="13">
        <v>17.867789999999999</v>
      </c>
      <c r="R18" s="13">
        <v>27.339649999999999</v>
      </c>
      <c r="S18" s="12">
        <v>44</v>
      </c>
      <c r="T18" s="13">
        <v>-0.39509169999999999</v>
      </c>
      <c r="U18" s="13">
        <v>-4.387848</v>
      </c>
      <c r="V18" s="13">
        <v>3.984146</v>
      </c>
      <c r="W18">
        <v>17</v>
      </c>
      <c r="AM18">
        <v>48</v>
      </c>
    </row>
    <row r="19" spans="1:39" x14ac:dyDescent="0.25">
      <c r="A19">
        <v>21131</v>
      </c>
      <c r="B19">
        <v>422</v>
      </c>
      <c r="C19" t="s">
        <v>83</v>
      </c>
      <c r="D19" s="11" t="s">
        <v>84</v>
      </c>
      <c r="E19" t="s">
        <v>76</v>
      </c>
      <c r="F19" t="s">
        <v>81</v>
      </c>
      <c r="G19" t="s">
        <v>78</v>
      </c>
      <c r="H19">
        <v>11.8</v>
      </c>
      <c r="I19">
        <v>-2.0099999999999998</v>
      </c>
      <c r="J19">
        <v>-1.96</v>
      </c>
      <c r="K19">
        <v>-1.93</v>
      </c>
      <c r="L19">
        <v>-1.83</v>
      </c>
      <c r="M19">
        <v>0.08</v>
      </c>
      <c r="N19">
        <v>0.1</v>
      </c>
      <c r="O19">
        <v>-0.1</v>
      </c>
      <c r="P19" s="13">
        <v>12.70961</v>
      </c>
      <c r="Q19" s="13">
        <v>10.11382</v>
      </c>
      <c r="R19" s="13">
        <v>15.85413</v>
      </c>
      <c r="S19" s="12">
        <v>29</v>
      </c>
      <c r="T19" s="13">
        <v>-0.2672446</v>
      </c>
      <c r="U19" s="13">
        <v>-2.7122440000000001</v>
      </c>
      <c r="V19" s="13">
        <v>2.2584930000000001</v>
      </c>
      <c r="W19">
        <v>18</v>
      </c>
      <c r="AM19">
        <v>48</v>
      </c>
    </row>
    <row r="20" spans="1:39" x14ac:dyDescent="0.25">
      <c r="A20">
        <v>12111</v>
      </c>
      <c r="B20">
        <v>89</v>
      </c>
      <c r="C20" t="s">
        <v>75</v>
      </c>
      <c r="D20" s="11" t="s">
        <v>85</v>
      </c>
      <c r="E20" t="s">
        <v>76</v>
      </c>
      <c r="F20" t="s">
        <v>77</v>
      </c>
      <c r="G20" t="s">
        <v>78</v>
      </c>
      <c r="H20">
        <v>6.97</v>
      </c>
      <c r="I20">
        <v>-2.4700000000000002</v>
      </c>
      <c r="J20">
        <v>-1.96</v>
      </c>
      <c r="K20">
        <v>-2.31</v>
      </c>
      <c r="L20">
        <v>-2.2200000000000002</v>
      </c>
      <c r="M20">
        <v>0.09</v>
      </c>
      <c r="N20">
        <v>0.13</v>
      </c>
      <c r="O20">
        <v>-0.09</v>
      </c>
      <c r="P20" s="13">
        <v>9.0244970000000002</v>
      </c>
      <c r="Q20" s="13">
        <v>6.7762359999999999</v>
      </c>
      <c r="R20" s="13">
        <v>11.923299999999999</v>
      </c>
      <c r="S20" s="12">
        <v>13</v>
      </c>
      <c r="T20" s="13">
        <v>-0.19451579999999999</v>
      </c>
      <c r="U20" s="13">
        <v>-2.0317370000000001</v>
      </c>
      <c r="V20" s="13">
        <v>2.1034009999999999</v>
      </c>
      <c r="W20">
        <v>19</v>
      </c>
      <c r="AM20">
        <v>48</v>
      </c>
    </row>
    <row r="21" spans="1:39" x14ac:dyDescent="0.25">
      <c r="A21">
        <v>11232</v>
      </c>
      <c r="B21">
        <v>894</v>
      </c>
      <c r="C21" t="s">
        <v>75</v>
      </c>
      <c r="D21" s="11" t="s">
        <v>84</v>
      </c>
      <c r="E21" t="s">
        <v>82</v>
      </c>
      <c r="F21" t="s">
        <v>81</v>
      </c>
      <c r="G21" t="s">
        <v>79</v>
      </c>
      <c r="H21">
        <v>10</v>
      </c>
      <c r="I21">
        <v>-2.1800000000000002</v>
      </c>
      <c r="J21">
        <v>-1.96</v>
      </c>
      <c r="K21">
        <v>-2.33</v>
      </c>
      <c r="L21">
        <v>-2.39</v>
      </c>
      <c r="M21">
        <v>0.09</v>
      </c>
      <c r="N21">
        <v>0.12</v>
      </c>
      <c r="O21">
        <v>0.06</v>
      </c>
      <c r="P21" s="13">
        <v>8.874447</v>
      </c>
      <c r="Q21" s="13">
        <v>6.7372779999999999</v>
      </c>
      <c r="R21" s="13">
        <v>11.6052</v>
      </c>
      <c r="S21" s="12">
        <v>12</v>
      </c>
      <c r="T21" s="13">
        <v>-0.13474230000000001</v>
      </c>
      <c r="U21" s="13">
        <v>-2.2198929999999999</v>
      </c>
      <c r="V21" s="13">
        <v>2.3426990000000001</v>
      </c>
      <c r="W21">
        <v>20</v>
      </c>
      <c r="AM21">
        <v>48</v>
      </c>
    </row>
    <row r="22" spans="1:39" x14ac:dyDescent="0.25">
      <c r="A22">
        <v>12121</v>
      </c>
      <c r="B22">
        <v>165</v>
      </c>
      <c r="C22" t="s">
        <v>75</v>
      </c>
      <c r="D22" s="11" t="s">
        <v>85</v>
      </c>
      <c r="E22" t="s">
        <v>76</v>
      </c>
      <c r="F22" t="s">
        <v>80</v>
      </c>
      <c r="G22" t="s">
        <v>78</v>
      </c>
      <c r="H22">
        <v>5.31</v>
      </c>
      <c r="I22">
        <v>-2.67</v>
      </c>
      <c r="J22">
        <v>-1.96</v>
      </c>
      <c r="K22">
        <v>-2.2999999999999998</v>
      </c>
      <c r="L22">
        <v>-2.12</v>
      </c>
      <c r="M22">
        <v>0.09</v>
      </c>
      <c r="N22">
        <v>0.13</v>
      </c>
      <c r="O22">
        <v>-0.18</v>
      </c>
      <c r="P22" s="13">
        <v>9.0972139999999992</v>
      </c>
      <c r="Q22" s="13">
        <v>6.8641899999999998</v>
      </c>
      <c r="R22" s="13">
        <v>11.963369999999999</v>
      </c>
      <c r="S22" s="12">
        <v>15</v>
      </c>
      <c r="T22" s="13">
        <v>-1.8676600000000002E-2</v>
      </c>
      <c r="U22" s="13">
        <v>-2.2042160000000002</v>
      </c>
      <c r="V22" s="13">
        <v>2.6354600000000001</v>
      </c>
      <c r="W22">
        <v>21</v>
      </c>
      <c r="AM22">
        <v>48</v>
      </c>
    </row>
    <row r="23" spans="1:39" x14ac:dyDescent="0.25">
      <c r="A23">
        <v>11212</v>
      </c>
      <c r="B23">
        <v>543</v>
      </c>
      <c r="C23" t="s">
        <v>75</v>
      </c>
      <c r="D23" s="11" t="s">
        <v>84</v>
      </c>
      <c r="E23" t="s">
        <v>82</v>
      </c>
      <c r="F23" t="s">
        <v>77</v>
      </c>
      <c r="G23" t="s">
        <v>79</v>
      </c>
      <c r="H23">
        <v>9.3800000000000008</v>
      </c>
      <c r="I23">
        <v>-2.2400000000000002</v>
      </c>
      <c r="J23">
        <v>-1.96</v>
      </c>
      <c r="K23">
        <v>-2.5</v>
      </c>
      <c r="L23">
        <v>-2.6</v>
      </c>
      <c r="M23">
        <v>0.09</v>
      </c>
      <c r="N23">
        <v>0.13</v>
      </c>
      <c r="O23">
        <v>0.1</v>
      </c>
      <c r="P23" s="13">
        <v>7.584797</v>
      </c>
      <c r="Q23" s="13">
        <v>5.6916229999999999</v>
      </c>
      <c r="R23" s="13">
        <v>10.04064</v>
      </c>
      <c r="S23" s="12">
        <v>8</v>
      </c>
      <c r="T23" s="13">
        <v>3.49077E-2</v>
      </c>
      <c r="U23" s="13">
        <v>-2.0228649999999999</v>
      </c>
      <c r="V23" s="13">
        <v>2.4176229999999999</v>
      </c>
      <c r="W23">
        <v>22</v>
      </c>
      <c r="AM23">
        <v>48</v>
      </c>
    </row>
    <row r="24" spans="1:39" x14ac:dyDescent="0.25">
      <c r="A24">
        <v>11121</v>
      </c>
      <c r="B24">
        <v>230</v>
      </c>
      <c r="C24" t="s">
        <v>75</v>
      </c>
      <c r="D24" s="11" t="s">
        <v>84</v>
      </c>
      <c r="E24" t="s">
        <v>76</v>
      </c>
      <c r="F24" t="s">
        <v>80</v>
      </c>
      <c r="G24" t="s">
        <v>78</v>
      </c>
      <c r="H24">
        <v>3.37</v>
      </c>
      <c r="I24">
        <v>-2.71</v>
      </c>
      <c r="J24">
        <v>-1.96</v>
      </c>
      <c r="K24">
        <v>-2.74</v>
      </c>
      <c r="L24">
        <v>-2.69</v>
      </c>
      <c r="M24">
        <v>0.1</v>
      </c>
      <c r="N24">
        <v>0.14000000000000001</v>
      </c>
      <c r="O24">
        <v>-0.05</v>
      </c>
      <c r="P24" s="13">
        <v>6.0412410000000003</v>
      </c>
      <c r="Q24" s="13">
        <v>4.3683120000000004</v>
      </c>
      <c r="R24" s="13">
        <v>8.2992480000000004</v>
      </c>
      <c r="S24" s="12">
        <v>3</v>
      </c>
      <c r="T24" s="13">
        <v>5.2952899999999997E-2</v>
      </c>
      <c r="U24" s="13">
        <v>-1.503609</v>
      </c>
      <c r="V24" s="13">
        <v>1.8780159999999999</v>
      </c>
      <c r="W24">
        <v>23</v>
      </c>
      <c r="AM24">
        <v>48</v>
      </c>
    </row>
    <row r="25" spans="1:39" x14ac:dyDescent="0.25">
      <c r="A25">
        <v>11111</v>
      </c>
      <c r="B25">
        <v>129</v>
      </c>
      <c r="C25" t="s">
        <v>75</v>
      </c>
      <c r="D25" s="11" t="s">
        <v>84</v>
      </c>
      <c r="E25" t="s">
        <v>76</v>
      </c>
      <c r="F25" t="s">
        <v>77</v>
      </c>
      <c r="G25" t="s">
        <v>78</v>
      </c>
      <c r="H25">
        <v>4.6500000000000004</v>
      </c>
      <c r="I25">
        <v>-2.67</v>
      </c>
      <c r="J25">
        <v>-1.96</v>
      </c>
      <c r="K25">
        <v>-3.07</v>
      </c>
      <c r="L25">
        <v>-3.07</v>
      </c>
      <c r="M25">
        <v>0.1</v>
      </c>
      <c r="N25">
        <v>0.14000000000000001</v>
      </c>
      <c r="O25">
        <v>0</v>
      </c>
      <c r="P25" s="13">
        <v>4.4411420000000001</v>
      </c>
      <c r="Q25" s="13">
        <v>3.2009720000000002</v>
      </c>
      <c r="R25" s="13">
        <v>6.1313620000000002</v>
      </c>
      <c r="S25" s="12">
        <v>1</v>
      </c>
      <c r="T25" s="13">
        <v>6.9048700000000005E-2</v>
      </c>
      <c r="U25" s="13">
        <v>-1.218855</v>
      </c>
      <c r="V25" s="13">
        <v>1.721082</v>
      </c>
      <c r="W25">
        <v>24</v>
      </c>
      <c r="AM25">
        <v>48</v>
      </c>
    </row>
    <row r="26" spans="1:39" x14ac:dyDescent="0.25">
      <c r="A26">
        <v>12221</v>
      </c>
      <c r="B26">
        <v>263</v>
      </c>
      <c r="C26" t="s">
        <v>75</v>
      </c>
      <c r="D26" s="11" t="s">
        <v>85</v>
      </c>
      <c r="E26" t="s">
        <v>82</v>
      </c>
      <c r="F26" t="s">
        <v>80</v>
      </c>
      <c r="G26" t="s">
        <v>78</v>
      </c>
      <c r="H26">
        <v>9.76</v>
      </c>
      <c r="I26">
        <v>-2.21</v>
      </c>
      <c r="J26">
        <v>-1.96</v>
      </c>
      <c r="K26">
        <v>-2.0699999999999998</v>
      </c>
      <c r="L26">
        <v>-1.92</v>
      </c>
      <c r="M26">
        <v>0.09</v>
      </c>
      <c r="N26">
        <v>0.1</v>
      </c>
      <c r="O26">
        <v>-0.15</v>
      </c>
      <c r="P26" s="13">
        <v>11.19538</v>
      </c>
      <c r="Q26" s="13">
        <v>8.8141020000000001</v>
      </c>
      <c r="R26" s="13">
        <v>14.120369999999999</v>
      </c>
      <c r="S26" s="12">
        <v>21</v>
      </c>
      <c r="T26" s="13">
        <v>0.14305970000000001</v>
      </c>
      <c r="U26" s="13">
        <v>-2.836271</v>
      </c>
      <c r="V26" s="13">
        <v>3.4288059999999998</v>
      </c>
      <c r="W26">
        <v>25</v>
      </c>
      <c r="AM26">
        <v>48</v>
      </c>
    </row>
    <row r="27" spans="1:39" x14ac:dyDescent="0.25">
      <c r="A27">
        <v>22221</v>
      </c>
      <c r="B27">
        <v>212</v>
      </c>
      <c r="C27" t="s">
        <v>83</v>
      </c>
      <c r="D27" s="11" t="s">
        <v>85</v>
      </c>
      <c r="E27" t="s">
        <v>82</v>
      </c>
      <c r="F27" t="s">
        <v>80</v>
      </c>
      <c r="G27" t="s">
        <v>78</v>
      </c>
      <c r="H27">
        <v>25.08</v>
      </c>
      <c r="I27">
        <v>-1.1499999999999999</v>
      </c>
      <c r="J27">
        <v>-1.96</v>
      </c>
      <c r="K27">
        <v>-1.25</v>
      </c>
      <c r="L27">
        <v>-1.44</v>
      </c>
      <c r="M27">
        <v>0.08</v>
      </c>
      <c r="N27">
        <v>0.1</v>
      </c>
      <c r="O27">
        <v>0.2</v>
      </c>
      <c r="P27" s="13">
        <v>22.278320000000001</v>
      </c>
      <c r="Q27" s="13">
        <v>18.190529999999999</v>
      </c>
      <c r="R27" s="13">
        <v>26.981750000000002</v>
      </c>
      <c r="S27" s="12">
        <v>45</v>
      </c>
      <c r="T27" s="13">
        <v>0.18853610000000001</v>
      </c>
      <c r="U27" s="13">
        <v>-4.5174060000000003</v>
      </c>
      <c r="V27" s="13">
        <v>5.2616839999999998</v>
      </c>
      <c r="W27">
        <v>26</v>
      </c>
      <c r="AM27">
        <v>48</v>
      </c>
    </row>
    <row r="28" spans="1:39" x14ac:dyDescent="0.25">
      <c r="A28">
        <v>21212</v>
      </c>
      <c r="B28">
        <v>528</v>
      </c>
      <c r="C28" t="s">
        <v>83</v>
      </c>
      <c r="D28" s="11" t="s">
        <v>84</v>
      </c>
      <c r="E28" t="s">
        <v>82</v>
      </c>
      <c r="F28" t="s">
        <v>77</v>
      </c>
      <c r="G28" t="s">
        <v>79</v>
      </c>
      <c r="H28">
        <v>12.5</v>
      </c>
      <c r="I28">
        <v>-1.96</v>
      </c>
      <c r="J28">
        <v>-1.96</v>
      </c>
      <c r="K28">
        <v>-1.8</v>
      </c>
      <c r="L28">
        <v>-1.74</v>
      </c>
      <c r="M28">
        <v>0.09</v>
      </c>
      <c r="N28">
        <v>0.12</v>
      </c>
      <c r="O28">
        <v>-0.06</v>
      </c>
      <c r="P28" s="13">
        <v>14.12589</v>
      </c>
      <c r="Q28" s="13">
        <v>10.848879999999999</v>
      </c>
      <c r="R28" s="13">
        <v>18.190760000000001</v>
      </c>
      <c r="S28" s="12">
        <v>32</v>
      </c>
      <c r="T28" s="13">
        <v>0.19740060000000001</v>
      </c>
      <c r="U28" s="13">
        <v>-2.7196889999999998</v>
      </c>
      <c r="V28" s="13">
        <v>3.3945699999999999</v>
      </c>
      <c r="W28">
        <v>27</v>
      </c>
      <c r="AM28">
        <v>48</v>
      </c>
    </row>
    <row r="29" spans="1:39" x14ac:dyDescent="0.25">
      <c r="A29">
        <v>22211</v>
      </c>
      <c r="B29">
        <v>183</v>
      </c>
      <c r="C29" t="s">
        <v>83</v>
      </c>
      <c r="D29" s="11" t="s">
        <v>85</v>
      </c>
      <c r="E29" t="s">
        <v>82</v>
      </c>
      <c r="F29" t="s">
        <v>77</v>
      </c>
      <c r="G29" t="s">
        <v>78</v>
      </c>
      <c r="H29">
        <v>21.06</v>
      </c>
      <c r="I29">
        <v>-1.36</v>
      </c>
      <c r="J29">
        <v>-1.96</v>
      </c>
      <c r="K29">
        <v>-1.3</v>
      </c>
      <c r="L29">
        <v>-1.27</v>
      </c>
      <c r="M29">
        <v>0.08</v>
      </c>
      <c r="N29">
        <v>0.09</v>
      </c>
      <c r="O29">
        <v>-0.03</v>
      </c>
      <c r="P29" s="13">
        <v>21.362200000000001</v>
      </c>
      <c r="Q29" s="13">
        <v>17.560420000000001</v>
      </c>
      <c r="R29" s="13">
        <v>25.730170000000001</v>
      </c>
      <c r="S29" s="12">
        <v>43</v>
      </c>
      <c r="T29" s="13">
        <v>0.22453219999999999</v>
      </c>
      <c r="U29" s="13">
        <v>-3.7069019999999999</v>
      </c>
      <c r="V29" s="13">
        <v>5.184685</v>
      </c>
      <c r="W29">
        <v>28</v>
      </c>
      <c r="AM29">
        <v>48</v>
      </c>
    </row>
    <row r="30" spans="1:39" x14ac:dyDescent="0.25">
      <c r="A30">
        <v>11132</v>
      </c>
      <c r="B30">
        <v>865</v>
      </c>
      <c r="C30" t="s">
        <v>75</v>
      </c>
      <c r="D30" s="11" t="s">
        <v>84</v>
      </c>
      <c r="E30" t="s">
        <v>76</v>
      </c>
      <c r="F30" t="s">
        <v>81</v>
      </c>
      <c r="G30" t="s">
        <v>79</v>
      </c>
      <c r="H30">
        <v>4.2</v>
      </c>
      <c r="I30">
        <v>-2.7</v>
      </c>
      <c r="J30">
        <v>-1.96</v>
      </c>
      <c r="K30">
        <v>-2.5099999999999998</v>
      </c>
      <c r="L30">
        <v>-2.4300000000000002</v>
      </c>
      <c r="M30">
        <v>0.1</v>
      </c>
      <c r="N30">
        <v>0.14000000000000001</v>
      </c>
      <c r="O30">
        <v>-0.09</v>
      </c>
      <c r="P30" s="13">
        <v>7.4908539999999997</v>
      </c>
      <c r="Q30" s="13">
        <v>5.4961640000000003</v>
      </c>
      <c r="R30" s="13">
        <v>10.13186</v>
      </c>
      <c r="S30" s="12">
        <v>6</v>
      </c>
      <c r="T30" s="13">
        <v>0.28721790000000003</v>
      </c>
      <c r="U30" s="13">
        <v>-1.387446</v>
      </c>
      <c r="V30" s="13">
        <v>2.2518829999999999</v>
      </c>
      <c r="W30">
        <v>29</v>
      </c>
      <c r="AM30">
        <v>48</v>
      </c>
    </row>
    <row r="31" spans="1:39" x14ac:dyDescent="0.25">
      <c r="A31">
        <v>11112</v>
      </c>
      <c r="B31">
        <v>385</v>
      </c>
      <c r="C31" t="s">
        <v>75</v>
      </c>
      <c r="D31" s="11" t="s">
        <v>84</v>
      </c>
      <c r="E31" t="s">
        <v>76</v>
      </c>
      <c r="F31" t="s">
        <v>77</v>
      </c>
      <c r="G31" t="s">
        <v>79</v>
      </c>
      <c r="H31">
        <v>6.09</v>
      </c>
      <c r="I31">
        <v>-2.59</v>
      </c>
      <c r="J31">
        <v>-1.96</v>
      </c>
      <c r="K31">
        <v>-2.77</v>
      </c>
      <c r="L31">
        <v>-2.77</v>
      </c>
      <c r="M31">
        <v>0.09</v>
      </c>
      <c r="N31">
        <v>0.13</v>
      </c>
      <c r="O31">
        <v>0.01</v>
      </c>
      <c r="P31" s="13">
        <v>5.913335</v>
      </c>
      <c r="Q31" s="13">
        <v>4.3807470000000004</v>
      </c>
      <c r="R31" s="13">
        <v>7.9375850000000003</v>
      </c>
      <c r="S31" s="12">
        <v>2</v>
      </c>
      <c r="T31" s="13">
        <v>0.36037989999999998</v>
      </c>
      <c r="U31" s="13">
        <v>-1.2764340000000001</v>
      </c>
      <c r="V31" s="13">
        <v>2.2352189999999998</v>
      </c>
      <c r="W31">
        <v>30</v>
      </c>
      <c r="AM31">
        <v>48</v>
      </c>
    </row>
    <row r="32" spans="1:39" x14ac:dyDescent="0.25">
      <c r="A32">
        <v>11222</v>
      </c>
      <c r="B32">
        <v>644</v>
      </c>
      <c r="C32" t="s">
        <v>75</v>
      </c>
      <c r="D32" s="11" t="s">
        <v>84</v>
      </c>
      <c r="E32" t="s">
        <v>82</v>
      </c>
      <c r="F32" t="s">
        <v>80</v>
      </c>
      <c r="G32" t="s">
        <v>79</v>
      </c>
      <c r="H32">
        <v>8.7899999999999991</v>
      </c>
      <c r="I32">
        <v>-2.31</v>
      </c>
      <c r="J32">
        <v>-1.96</v>
      </c>
      <c r="K32">
        <v>-2.42</v>
      </c>
      <c r="L32">
        <v>-2.48</v>
      </c>
      <c r="M32">
        <v>0.09</v>
      </c>
      <c r="N32">
        <v>0.11</v>
      </c>
      <c r="O32">
        <v>0.06</v>
      </c>
      <c r="P32" s="13">
        <v>8.1546629999999993</v>
      </c>
      <c r="Q32" s="13">
        <v>6.2888599999999997</v>
      </c>
      <c r="R32" s="13">
        <v>10.51192</v>
      </c>
      <c r="S32" s="12">
        <v>10</v>
      </c>
      <c r="T32" s="13">
        <v>0.40898699999999999</v>
      </c>
      <c r="U32" s="13">
        <v>-2.140323</v>
      </c>
      <c r="V32" s="13">
        <v>3.2655639999999999</v>
      </c>
      <c r="W32">
        <v>31</v>
      </c>
      <c r="AM32">
        <v>48</v>
      </c>
    </row>
    <row r="33" spans="1:39" x14ac:dyDescent="0.25">
      <c r="A33">
        <v>21112</v>
      </c>
      <c r="B33">
        <v>332</v>
      </c>
      <c r="C33" t="s">
        <v>83</v>
      </c>
      <c r="D33" s="11" t="s">
        <v>84</v>
      </c>
      <c r="E33" t="s">
        <v>76</v>
      </c>
      <c r="F33" t="s">
        <v>77</v>
      </c>
      <c r="G33" t="s">
        <v>79</v>
      </c>
      <c r="H33">
        <v>12.42</v>
      </c>
      <c r="I33">
        <v>-1.96</v>
      </c>
      <c r="J33">
        <v>-1.96</v>
      </c>
      <c r="K33">
        <v>-1.97</v>
      </c>
      <c r="L33">
        <v>-2</v>
      </c>
      <c r="M33">
        <v>0.08</v>
      </c>
      <c r="N33">
        <v>0.09</v>
      </c>
      <c r="O33">
        <v>0.03</v>
      </c>
      <c r="P33" s="13">
        <v>12.189920000000001</v>
      </c>
      <c r="Q33" s="13">
        <v>9.8127659999999999</v>
      </c>
      <c r="R33" s="13">
        <v>15.04687</v>
      </c>
      <c r="S33" s="12">
        <v>26</v>
      </c>
      <c r="T33" s="13">
        <v>0.44482969999999999</v>
      </c>
      <c r="U33" s="13">
        <v>-2.1903760000000001</v>
      </c>
      <c r="V33" s="13">
        <v>3.4267379999999998</v>
      </c>
      <c r="W33">
        <v>32</v>
      </c>
      <c r="AM33">
        <v>48</v>
      </c>
    </row>
    <row r="34" spans="1:39" x14ac:dyDescent="0.25">
      <c r="A34">
        <v>11122</v>
      </c>
      <c r="B34">
        <v>421</v>
      </c>
      <c r="C34" t="s">
        <v>75</v>
      </c>
      <c r="D34" s="11" t="s">
        <v>84</v>
      </c>
      <c r="E34" t="s">
        <v>76</v>
      </c>
      <c r="F34" t="s">
        <v>80</v>
      </c>
      <c r="G34" t="s">
        <v>79</v>
      </c>
      <c r="H34">
        <v>6.75</v>
      </c>
      <c r="I34">
        <v>-2.5499999999999998</v>
      </c>
      <c r="J34">
        <v>-1.96</v>
      </c>
      <c r="K34">
        <v>-2.73</v>
      </c>
      <c r="L34">
        <v>-2.78</v>
      </c>
      <c r="M34">
        <v>0.09</v>
      </c>
      <c r="N34">
        <v>0.12</v>
      </c>
      <c r="O34">
        <v>0.05</v>
      </c>
      <c r="P34" s="13">
        <v>6.1368530000000003</v>
      </c>
      <c r="Q34" s="13">
        <v>4.6241620000000001</v>
      </c>
      <c r="R34" s="13">
        <v>8.1023519999999998</v>
      </c>
      <c r="S34" s="12">
        <v>4</v>
      </c>
      <c r="T34" s="13">
        <v>0.48606389999999999</v>
      </c>
      <c r="U34" s="13">
        <v>-1.3763339999999999</v>
      </c>
      <c r="V34" s="13">
        <v>2.7846839999999999</v>
      </c>
      <c r="W34">
        <v>33</v>
      </c>
      <c r="AM34">
        <v>48</v>
      </c>
    </row>
    <row r="35" spans="1:39" x14ac:dyDescent="0.25">
      <c r="A35">
        <v>12112</v>
      </c>
      <c r="B35">
        <v>270</v>
      </c>
      <c r="C35" t="s">
        <v>75</v>
      </c>
      <c r="D35" s="11" t="s">
        <v>85</v>
      </c>
      <c r="E35" t="s">
        <v>76</v>
      </c>
      <c r="F35" t="s">
        <v>77</v>
      </c>
      <c r="G35" t="s">
        <v>79</v>
      </c>
      <c r="H35">
        <v>9.02</v>
      </c>
      <c r="I35">
        <v>-2.29</v>
      </c>
      <c r="J35">
        <v>-1.96</v>
      </c>
      <c r="K35">
        <v>-2.31</v>
      </c>
      <c r="L35">
        <v>-2.2999999999999998</v>
      </c>
      <c r="M35">
        <v>0.09</v>
      </c>
      <c r="N35">
        <v>0.11</v>
      </c>
      <c r="O35">
        <v>-0.01</v>
      </c>
      <c r="P35" s="13">
        <v>9.0377109999999998</v>
      </c>
      <c r="Q35" s="13">
        <v>7.0700419999999999</v>
      </c>
      <c r="R35" s="13">
        <v>11.48532</v>
      </c>
      <c r="S35" s="12">
        <v>14</v>
      </c>
      <c r="T35" s="13">
        <v>0.56362950000000001</v>
      </c>
      <c r="U35" s="13">
        <v>-1.7987169999999999</v>
      </c>
      <c r="V35" s="13">
        <v>3.2470400000000001</v>
      </c>
      <c r="W35">
        <v>34</v>
      </c>
      <c r="AM35">
        <v>48</v>
      </c>
    </row>
    <row r="36" spans="1:39" x14ac:dyDescent="0.25">
      <c r="A36">
        <v>11211</v>
      </c>
      <c r="B36">
        <v>256</v>
      </c>
      <c r="C36" t="s">
        <v>75</v>
      </c>
      <c r="D36" s="11" t="s">
        <v>84</v>
      </c>
      <c r="E36" t="s">
        <v>82</v>
      </c>
      <c r="F36" t="s">
        <v>77</v>
      </c>
      <c r="G36" t="s">
        <v>78</v>
      </c>
      <c r="H36">
        <v>5.73</v>
      </c>
      <c r="I36">
        <v>-2.67</v>
      </c>
      <c r="J36">
        <v>-1.96</v>
      </c>
      <c r="K36">
        <v>-2.5099999999999998</v>
      </c>
      <c r="L36">
        <v>-2.38</v>
      </c>
      <c r="M36">
        <v>0.09</v>
      </c>
      <c r="N36">
        <v>0.12</v>
      </c>
      <c r="O36">
        <v>-0.13</v>
      </c>
      <c r="P36" s="13">
        <v>7.5295509999999997</v>
      </c>
      <c r="Q36" s="13">
        <v>5.7112069999999999</v>
      </c>
      <c r="R36" s="13">
        <v>9.8662410000000005</v>
      </c>
      <c r="S36" s="12">
        <v>7</v>
      </c>
      <c r="T36" s="13">
        <v>0.71442499999999998</v>
      </c>
      <c r="U36" s="13">
        <v>-1.250402</v>
      </c>
      <c r="V36" s="13">
        <v>3.2313809999999998</v>
      </c>
      <c r="W36">
        <v>35</v>
      </c>
      <c r="AM36">
        <v>48</v>
      </c>
    </row>
    <row r="37" spans="1:39" x14ac:dyDescent="0.25">
      <c r="A37">
        <v>22111</v>
      </c>
      <c r="B37">
        <v>88</v>
      </c>
      <c r="C37" t="s">
        <v>83</v>
      </c>
      <c r="D37" s="11" t="s">
        <v>85</v>
      </c>
      <c r="E37" t="s">
        <v>76</v>
      </c>
      <c r="F37" t="s">
        <v>77</v>
      </c>
      <c r="G37" t="s">
        <v>78</v>
      </c>
      <c r="H37">
        <v>17.489999999999998</v>
      </c>
      <c r="I37">
        <v>-1.61</v>
      </c>
      <c r="J37">
        <v>-1.96</v>
      </c>
      <c r="K37">
        <v>-1.56</v>
      </c>
      <c r="L37">
        <v>-1.57</v>
      </c>
      <c r="M37">
        <v>0.09</v>
      </c>
      <c r="N37">
        <v>0.12</v>
      </c>
      <c r="O37">
        <v>0</v>
      </c>
      <c r="P37" s="13">
        <v>17.31897</v>
      </c>
      <c r="Q37" s="13">
        <v>13.509740000000001</v>
      </c>
      <c r="R37" s="13">
        <v>21.929919999999999</v>
      </c>
      <c r="S37" s="12">
        <v>37</v>
      </c>
      <c r="T37" s="13">
        <v>0.81489420000000001</v>
      </c>
      <c r="U37" s="13">
        <v>-2.4276580000000001</v>
      </c>
      <c r="V37" s="13">
        <v>4.6752890000000003</v>
      </c>
      <c r="W37">
        <v>36</v>
      </c>
      <c r="AM37">
        <v>48</v>
      </c>
    </row>
    <row r="38" spans="1:39" x14ac:dyDescent="0.25">
      <c r="A38">
        <v>21221</v>
      </c>
      <c r="B38">
        <v>337</v>
      </c>
      <c r="C38" t="s">
        <v>83</v>
      </c>
      <c r="D38" s="11" t="s">
        <v>84</v>
      </c>
      <c r="E38" t="s">
        <v>82</v>
      </c>
      <c r="F38" t="s">
        <v>80</v>
      </c>
      <c r="G38" t="s">
        <v>78</v>
      </c>
      <c r="H38">
        <v>12.82</v>
      </c>
      <c r="I38">
        <v>-1.93</v>
      </c>
      <c r="J38">
        <v>-1.96</v>
      </c>
      <c r="K38">
        <v>-1.79</v>
      </c>
      <c r="L38">
        <v>-1.62</v>
      </c>
      <c r="M38">
        <v>0.08</v>
      </c>
      <c r="N38">
        <v>0.1</v>
      </c>
      <c r="O38">
        <v>-0.17</v>
      </c>
      <c r="P38" s="13">
        <v>14.298080000000001</v>
      </c>
      <c r="Q38" s="13">
        <v>11.51892</v>
      </c>
      <c r="R38" s="13">
        <v>17.614280000000001</v>
      </c>
      <c r="S38" s="12">
        <v>33</v>
      </c>
      <c r="T38" s="13">
        <v>0.86494539999999998</v>
      </c>
      <c r="U38" s="13">
        <v>-2.3903509999999999</v>
      </c>
      <c r="V38" s="13">
        <v>4.6337840000000003</v>
      </c>
      <c r="W38">
        <v>37</v>
      </c>
      <c r="AM38">
        <v>48</v>
      </c>
    </row>
    <row r="39" spans="1:39" x14ac:dyDescent="0.25">
      <c r="A39">
        <v>11131</v>
      </c>
      <c r="B39">
        <v>430</v>
      </c>
      <c r="C39" t="s">
        <v>75</v>
      </c>
      <c r="D39" s="11" t="s">
        <v>84</v>
      </c>
      <c r="E39" t="s">
        <v>76</v>
      </c>
      <c r="F39" t="s">
        <v>81</v>
      </c>
      <c r="G39" t="s">
        <v>78</v>
      </c>
      <c r="H39">
        <v>8.14</v>
      </c>
      <c r="I39">
        <v>-2.39</v>
      </c>
      <c r="J39">
        <v>-1.96</v>
      </c>
      <c r="K39">
        <v>-2.63</v>
      </c>
      <c r="L39">
        <v>-2.76</v>
      </c>
      <c r="M39">
        <v>0.09</v>
      </c>
      <c r="N39">
        <v>0.12</v>
      </c>
      <c r="O39">
        <v>0.13</v>
      </c>
      <c r="P39" s="13">
        <v>6.7200800000000003</v>
      </c>
      <c r="Q39" s="13">
        <v>5.1268409999999998</v>
      </c>
      <c r="R39" s="13">
        <v>8.7627070000000007</v>
      </c>
      <c r="S39" s="12">
        <v>5</v>
      </c>
      <c r="T39" s="13">
        <v>0.86607429999999996</v>
      </c>
      <c r="U39" s="13">
        <v>-0.81339879999999998</v>
      </c>
      <c r="V39" s="13">
        <v>2.95634</v>
      </c>
      <c r="W39">
        <v>38</v>
      </c>
      <c r="AM39">
        <v>48</v>
      </c>
    </row>
    <row r="40" spans="1:39" x14ac:dyDescent="0.25">
      <c r="A40">
        <v>11221</v>
      </c>
      <c r="B40">
        <v>355</v>
      </c>
      <c r="C40" t="s">
        <v>75</v>
      </c>
      <c r="D40" s="11" t="s">
        <v>84</v>
      </c>
      <c r="E40" t="s">
        <v>82</v>
      </c>
      <c r="F40" t="s">
        <v>80</v>
      </c>
      <c r="G40" t="s">
        <v>78</v>
      </c>
      <c r="H40">
        <v>8.2100000000000009</v>
      </c>
      <c r="I40">
        <v>-2.4</v>
      </c>
      <c r="J40">
        <v>-1.96</v>
      </c>
      <c r="K40">
        <v>-2.44</v>
      </c>
      <c r="L40">
        <v>-2.4700000000000002</v>
      </c>
      <c r="M40">
        <v>0.08</v>
      </c>
      <c r="N40">
        <v>0.1</v>
      </c>
      <c r="O40">
        <v>0.03</v>
      </c>
      <c r="P40" s="13">
        <v>8.0329270000000008</v>
      </c>
      <c r="Q40" s="13">
        <v>6.3933119999999999</v>
      </c>
      <c r="R40" s="13">
        <v>10.047890000000001</v>
      </c>
      <c r="S40" s="12">
        <v>9</v>
      </c>
      <c r="T40" s="13">
        <v>0.93673930000000005</v>
      </c>
      <c r="U40" s="13">
        <v>-1.5701700000000001</v>
      </c>
      <c r="V40" s="13">
        <v>3.7000540000000002</v>
      </c>
      <c r="W40">
        <v>39</v>
      </c>
      <c r="AM40">
        <v>48</v>
      </c>
    </row>
    <row r="41" spans="1:39" x14ac:dyDescent="0.25">
      <c r="A41">
        <v>12122</v>
      </c>
      <c r="B41">
        <v>349</v>
      </c>
      <c r="C41" t="s">
        <v>75</v>
      </c>
      <c r="D41" s="11" t="s">
        <v>85</v>
      </c>
      <c r="E41" t="s">
        <v>76</v>
      </c>
      <c r="F41" t="s">
        <v>80</v>
      </c>
      <c r="G41" t="s">
        <v>79</v>
      </c>
      <c r="H41">
        <v>11.27</v>
      </c>
      <c r="I41">
        <v>-2.06</v>
      </c>
      <c r="J41">
        <v>-1.96</v>
      </c>
      <c r="K41">
        <v>-2.2000000000000002</v>
      </c>
      <c r="L41">
        <v>-2.2999999999999998</v>
      </c>
      <c r="M41">
        <v>0.09</v>
      </c>
      <c r="N41">
        <v>0.11</v>
      </c>
      <c r="O41">
        <v>0.1</v>
      </c>
      <c r="P41" s="13">
        <v>9.9698960000000003</v>
      </c>
      <c r="Q41" s="13">
        <v>7.7212490000000003</v>
      </c>
      <c r="R41" s="13">
        <v>12.7827</v>
      </c>
      <c r="S41" s="12">
        <v>16</v>
      </c>
      <c r="T41" s="13">
        <v>1.2225189999999999</v>
      </c>
      <c r="U41" s="13">
        <v>-1.389143</v>
      </c>
      <c r="V41" s="13">
        <v>4.1831829999999997</v>
      </c>
      <c r="W41">
        <v>40</v>
      </c>
      <c r="AM41">
        <v>48</v>
      </c>
    </row>
    <row r="42" spans="1:39" x14ac:dyDescent="0.25">
      <c r="A42">
        <v>22132</v>
      </c>
      <c r="B42">
        <v>619</v>
      </c>
      <c r="C42" t="s">
        <v>83</v>
      </c>
      <c r="D42" s="11" t="s">
        <v>85</v>
      </c>
      <c r="E42" t="s">
        <v>76</v>
      </c>
      <c r="F42" t="s">
        <v>81</v>
      </c>
      <c r="G42" t="s">
        <v>79</v>
      </c>
      <c r="H42">
        <v>21.16</v>
      </c>
      <c r="I42">
        <v>-1.34</v>
      </c>
      <c r="J42">
        <v>-1.96</v>
      </c>
      <c r="K42">
        <v>-1.35</v>
      </c>
      <c r="L42">
        <v>-1.43</v>
      </c>
      <c r="M42">
        <v>0.08</v>
      </c>
      <c r="N42">
        <v>0.08</v>
      </c>
      <c r="O42">
        <v>0.08</v>
      </c>
      <c r="P42" s="13">
        <v>20.541080000000001</v>
      </c>
      <c r="Q42" s="13">
        <v>17.133500000000002</v>
      </c>
      <c r="R42" s="13">
        <v>24.42661</v>
      </c>
      <c r="S42" s="12">
        <v>42</v>
      </c>
      <c r="T42" s="13">
        <v>1.3078080000000001</v>
      </c>
      <c r="U42" s="13">
        <v>-2.3676430000000002</v>
      </c>
      <c r="V42" s="13">
        <v>5.2573460000000001</v>
      </c>
      <c r="W42">
        <v>41</v>
      </c>
      <c r="AM42">
        <v>48</v>
      </c>
    </row>
    <row r="43" spans="1:39" x14ac:dyDescent="0.25">
      <c r="A43">
        <v>22232</v>
      </c>
      <c r="B43">
        <v>662</v>
      </c>
      <c r="C43" t="s">
        <v>83</v>
      </c>
      <c r="D43" s="11" t="s">
        <v>85</v>
      </c>
      <c r="E43" t="s">
        <v>82</v>
      </c>
      <c r="F43" t="s">
        <v>81</v>
      </c>
      <c r="G43" t="s">
        <v>79</v>
      </c>
      <c r="H43">
        <v>31</v>
      </c>
      <c r="I43">
        <v>-0.84</v>
      </c>
      <c r="J43">
        <v>-1.96</v>
      </c>
      <c r="K43">
        <v>-0.85</v>
      </c>
      <c r="L43">
        <v>-0.97</v>
      </c>
      <c r="M43">
        <v>0.08</v>
      </c>
      <c r="N43">
        <v>0.08</v>
      </c>
      <c r="O43">
        <v>0.12</v>
      </c>
      <c r="P43" s="13">
        <v>29.856940000000002</v>
      </c>
      <c r="Q43" s="13">
        <v>25.3431</v>
      </c>
      <c r="R43" s="13">
        <v>34.799999999999997</v>
      </c>
      <c r="S43" s="12">
        <v>48</v>
      </c>
      <c r="T43" s="13">
        <v>1.6297349999999999</v>
      </c>
      <c r="U43" s="13">
        <v>-2.5634030000000001</v>
      </c>
      <c r="V43" s="13">
        <v>6.2418370000000003</v>
      </c>
      <c r="W43">
        <v>42</v>
      </c>
      <c r="AM43">
        <v>48</v>
      </c>
    </row>
    <row r="44" spans="1:39" x14ac:dyDescent="0.25">
      <c r="A44">
        <v>11231</v>
      </c>
      <c r="B44">
        <v>528</v>
      </c>
      <c r="C44" t="s">
        <v>75</v>
      </c>
      <c r="D44" s="11" t="s">
        <v>84</v>
      </c>
      <c r="E44" t="s">
        <v>82</v>
      </c>
      <c r="F44" t="s">
        <v>81</v>
      </c>
      <c r="G44" t="s">
        <v>78</v>
      </c>
      <c r="H44">
        <v>7.88</v>
      </c>
      <c r="I44">
        <v>-2.36</v>
      </c>
      <c r="J44">
        <v>-1.96</v>
      </c>
      <c r="K44">
        <v>-2.41</v>
      </c>
      <c r="L44">
        <v>-2.39</v>
      </c>
      <c r="M44">
        <v>0.09</v>
      </c>
      <c r="N44">
        <v>0.13</v>
      </c>
      <c r="O44">
        <v>-0.02</v>
      </c>
      <c r="P44" s="13">
        <v>8.267099</v>
      </c>
      <c r="Q44" s="13">
        <v>6.1561899999999996</v>
      </c>
      <c r="R44" s="13">
        <v>11.01685</v>
      </c>
      <c r="S44" s="12">
        <v>11</v>
      </c>
      <c r="T44" s="13">
        <v>1.7016530000000001</v>
      </c>
      <c r="U44" s="13">
        <v>-0.60165930000000001</v>
      </c>
      <c r="V44" s="13">
        <v>4.4325460000000003</v>
      </c>
      <c r="W44">
        <v>43</v>
      </c>
      <c r="AM44">
        <v>48</v>
      </c>
    </row>
    <row r="45" spans="1:39" x14ac:dyDescent="0.25">
      <c r="A45">
        <v>22231</v>
      </c>
      <c r="B45">
        <v>350</v>
      </c>
      <c r="C45" t="s">
        <v>83</v>
      </c>
      <c r="D45" s="11" t="s">
        <v>85</v>
      </c>
      <c r="E45" t="s">
        <v>82</v>
      </c>
      <c r="F45" t="s">
        <v>81</v>
      </c>
      <c r="G45" t="s">
        <v>78</v>
      </c>
      <c r="H45">
        <v>29.76</v>
      </c>
      <c r="I45">
        <v>-0.89</v>
      </c>
      <c r="J45">
        <v>-1.96</v>
      </c>
      <c r="K45">
        <v>-0.88</v>
      </c>
      <c r="L45">
        <v>-0.96</v>
      </c>
      <c r="M45">
        <v>0.08</v>
      </c>
      <c r="N45">
        <v>7.0000000000000007E-2</v>
      </c>
      <c r="O45">
        <v>0.08</v>
      </c>
      <c r="P45" s="13">
        <v>29.224419999999999</v>
      </c>
      <c r="Q45" s="13">
        <v>25.062249999999999</v>
      </c>
      <c r="R45" s="13">
        <v>33.766350000000003</v>
      </c>
      <c r="S45" s="12">
        <v>47</v>
      </c>
      <c r="T45" s="13">
        <v>2.0472950000000001</v>
      </c>
      <c r="U45" s="13">
        <v>-2.1051060000000001</v>
      </c>
      <c r="V45" s="13">
        <v>6.5418710000000004</v>
      </c>
      <c r="W45">
        <v>44</v>
      </c>
      <c r="AM45">
        <v>48</v>
      </c>
    </row>
    <row r="46" spans="1:39" x14ac:dyDescent="0.25">
      <c r="A46">
        <v>21231</v>
      </c>
      <c r="B46">
        <v>517</v>
      </c>
      <c r="C46" t="s">
        <v>83</v>
      </c>
      <c r="D46" s="11" t="s">
        <v>84</v>
      </c>
      <c r="E46" t="s">
        <v>82</v>
      </c>
      <c r="F46" t="s">
        <v>81</v>
      </c>
      <c r="G46" t="s">
        <v>78</v>
      </c>
      <c r="H46">
        <v>16.29</v>
      </c>
      <c r="I46">
        <v>-1.66</v>
      </c>
      <c r="J46">
        <v>-1.96</v>
      </c>
      <c r="K46">
        <v>-1.65</v>
      </c>
      <c r="L46">
        <v>-1.65</v>
      </c>
      <c r="M46">
        <v>0.08</v>
      </c>
      <c r="N46">
        <v>0.09</v>
      </c>
      <c r="O46">
        <v>0.01</v>
      </c>
      <c r="P46" s="13">
        <v>16.173970000000001</v>
      </c>
      <c r="Q46" s="13">
        <v>13.12567</v>
      </c>
      <c r="R46" s="13">
        <v>19.769110000000001</v>
      </c>
      <c r="S46" s="12">
        <v>35</v>
      </c>
      <c r="T46" s="13">
        <v>2.109397</v>
      </c>
      <c r="U46" s="13">
        <v>-1.187141</v>
      </c>
      <c r="V46" s="13">
        <v>5.7649759999999999</v>
      </c>
      <c r="W46">
        <v>45</v>
      </c>
      <c r="AM46">
        <v>48</v>
      </c>
    </row>
    <row r="47" spans="1:39" x14ac:dyDescent="0.25">
      <c r="A47">
        <v>22222</v>
      </c>
      <c r="B47">
        <v>471</v>
      </c>
      <c r="C47" t="s">
        <v>83</v>
      </c>
      <c r="D47" s="11" t="s">
        <v>85</v>
      </c>
      <c r="E47" t="s">
        <v>82</v>
      </c>
      <c r="F47" t="s">
        <v>80</v>
      </c>
      <c r="G47" t="s">
        <v>79</v>
      </c>
      <c r="H47">
        <v>25.71</v>
      </c>
      <c r="I47">
        <v>-1.1100000000000001</v>
      </c>
      <c r="J47">
        <v>-1.96</v>
      </c>
      <c r="K47">
        <v>-1.1399999999999999</v>
      </c>
      <c r="L47">
        <v>-1.26</v>
      </c>
      <c r="M47">
        <v>0.08</v>
      </c>
      <c r="N47">
        <v>0.1</v>
      </c>
      <c r="O47">
        <v>0.11</v>
      </c>
      <c r="P47" s="13">
        <v>24.200099999999999</v>
      </c>
      <c r="Q47" s="13">
        <v>19.96791</v>
      </c>
      <c r="R47" s="13">
        <v>29.00423</v>
      </c>
      <c r="S47" s="12">
        <v>46</v>
      </c>
      <c r="T47" s="13">
        <v>2.3341370000000001</v>
      </c>
      <c r="U47" s="13">
        <v>-2.1285270000000001</v>
      </c>
      <c r="V47" s="13">
        <v>7.1201629999999998</v>
      </c>
      <c r="W47">
        <v>46</v>
      </c>
      <c r="AM47">
        <v>48</v>
      </c>
    </row>
    <row r="48" spans="1:39" x14ac:dyDescent="0.25">
      <c r="A48">
        <v>22112</v>
      </c>
      <c r="B48">
        <v>265</v>
      </c>
      <c r="C48" t="s">
        <v>83</v>
      </c>
      <c r="D48" s="11" t="s">
        <v>85</v>
      </c>
      <c r="E48" t="s">
        <v>76</v>
      </c>
      <c r="F48" t="s">
        <v>77</v>
      </c>
      <c r="G48" t="s">
        <v>79</v>
      </c>
      <c r="H48">
        <v>21.13</v>
      </c>
      <c r="I48">
        <v>-1.37</v>
      </c>
      <c r="J48">
        <v>-1.96</v>
      </c>
      <c r="K48">
        <v>-1.54</v>
      </c>
      <c r="L48">
        <v>-1.74</v>
      </c>
      <c r="M48">
        <v>0.09</v>
      </c>
      <c r="N48">
        <v>0.11</v>
      </c>
      <c r="O48">
        <v>0.2</v>
      </c>
      <c r="P48" s="13">
        <v>17.629169999999998</v>
      </c>
      <c r="Q48" s="13">
        <v>13.986079999999999</v>
      </c>
      <c r="R48" s="13">
        <v>21.978719999999999</v>
      </c>
      <c r="S48" s="12">
        <v>38</v>
      </c>
      <c r="T48" s="13">
        <v>2.8542939999999999</v>
      </c>
      <c r="U48" s="13">
        <v>-0.79402969999999995</v>
      </c>
      <c r="V48" s="13">
        <v>6.8097000000000003</v>
      </c>
      <c r="W48">
        <v>47</v>
      </c>
      <c r="AM48">
        <v>48</v>
      </c>
    </row>
    <row r="49" spans="1:39" x14ac:dyDescent="0.25">
      <c r="A49">
        <v>22122</v>
      </c>
      <c r="B49">
        <v>319</v>
      </c>
      <c r="C49" t="s">
        <v>83</v>
      </c>
      <c r="D49" s="11" t="s">
        <v>85</v>
      </c>
      <c r="E49" t="s">
        <v>76</v>
      </c>
      <c r="F49" t="s">
        <v>80</v>
      </c>
      <c r="G49" t="s">
        <v>79</v>
      </c>
      <c r="H49">
        <v>19.54</v>
      </c>
      <c r="I49">
        <v>-1.44</v>
      </c>
      <c r="J49">
        <v>-1.96</v>
      </c>
      <c r="K49">
        <v>-1.5</v>
      </c>
      <c r="L49">
        <v>-1.64</v>
      </c>
      <c r="M49">
        <v>0.08</v>
      </c>
      <c r="N49">
        <v>0.09</v>
      </c>
      <c r="O49">
        <v>0.14000000000000001</v>
      </c>
      <c r="P49" s="13">
        <v>18.267959999999999</v>
      </c>
      <c r="Q49" s="13">
        <v>14.99141</v>
      </c>
      <c r="R49" s="13">
        <v>22.074670000000001</v>
      </c>
      <c r="S49" s="12">
        <v>40</v>
      </c>
      <c r="T49" s="13">
        <v>3.188234</v>
      </c>
      <c r="U49" s="13">
        <v>-0.73368840000000002</v>
      </c>
      <c r="V49" s="13">
        <v>8.0354939999999999</v>
      </c>
      <c r="W49">
        <v>48</v>
      </c>
      <c r="AM49">
        <v>48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2BD06-8C24-48DB-BC5F-52356C4F51D1}">
  <dimension ref="A1:Y115"/>
  <sheetViews>
    <sheetView workbookViewId="0">
      <selection activeCell="G16" sqref="G16"/>
    </sheetView>
  </sheetViews>
  <sheetFormatPr baseColWidth="10" defaultRowHeight="15" x14ac:dyDescent="0.25"/>
  <cols>
    <col min="9" max="14" width="0" hidden="1" customWidth="1"/>
    <col min="18" max="20" width="0" hidden="1" customWidth="1"/>
  </cols>
  <sheetData>
    <row r="1" spans="1:25" x14ac:dyDescent="0.25">
      <c r="A1" t="s">
        <v>139</v>
      </c>
      <c r="B1" t="s">
        <v>140</v>
      </c>
    </row>
    <row r="3" spans="1:25" x14ac:dyDescent="0.25">
      <c r="A3" t="s">
        <v>47</v>
      </c>
      <c r="B3" t="s">
        <v>58</v>
      </c>
      <c r="C3" t="s">
        <v>52</v>
      </c>
      <c r="D3" t="s">
        <v>53</v>
      </c>
      <c r="E3" t="s">
        <v>130</v>
      </c>
      <c r="F3" t="s">
        <v>54</v>
      </c>
      <c r="G3" t="s">
        <v>56</v>
      </c>
      <c r="H3" t="s">
        <v>57</v>
      </c>
      <c r="I3" t="s">
        <v>59</v>
      </c>
      <c r="J3" t="s">
        <v>60</v>
      </c>
      <c r="K3" t="s">
        <v>64</v>
      </c>
      <c r="L3" t="s">
        <v>65</v>
      </c>
      <c r="M3" t="s">
        <v>66</v>
      </c>
      <c r="N3" t="s">
        <v>67</v>
      </c>
      <c r="O3" t="s">
        <v>68</v>
      </c>
      <c r="P3" t="s">
        <v>70</v>
      </c>
      <c r="Q3" t="s">
        <v>69</v>
      </c>
      <c r="R3" t="s">
        <v>100</v>
      </c>
      <c r="S3" t="s">
        <v>101</v>
      </c>
      <c r="T3" t="s">
        <v>102</v>
      </c>
      <c r="U3" t="s">
        <v>103</v>
      </c>
      <c r="V3" t="s">
        <v>104</v>
      </c>
      <c r="W3" t="s">
        <v>105</v>
      </c>
      <c r="X3" t="s">
        <v>106</v>
      </c>
      <c r="Y3" t="s">
        <v>107</v>
      </c>
    </row>
    <row r="4" spans="1:25" x14ac:dyDescent="0.25">
      <c r="A4">
        <v>12272</v>
      </c>
      <c r="B4">
        <v>356</v>
      </c>
      <c r="C4" t="s">
        <v>75</v>
      </c>
      <c r="D4" s="11" t="s">
        <v>85</v>
      </c>
      <c r="E4" t="s">
        <v>137</v>
      </c>
      <c r="F4" t="s">
        <v>82</v>
      </c>
      <c r="G4" t="s">
        <v>79</v>
      </c>
      <c r="H4">
        <v>0.151685393258427</v>
      </c>
      <c r="I4">
        <v>14.9426677391029</v>
      </c>
      <c r="J4">
        <v>11.8115178173191</v>
      </c>
      <c r="K4">
        <v>-1.16368233126801</v>
      </c>
      <c r="L4">
        <v>23.873751085558698</v>
      </c>
      <c r="M4">
        <v>26.836042752212599</v>
      </c>
      <c r="N4">
        <v>21.051892811715401</v>
      </c>
      <c r="O4">
        <v>18.547803250801699</v>
      </c>
      <c r="P4">
        <v>15.165838813890799</v>
      </c>
      <c r="Q4">
        <v>23.063231561629902</v>
      </c>
      <c r="R4">
        <v>2.0146410070763099</v>
      </c>
      <c r="S4">
        <v>1.47554845420848</v>
      </c>
      <c r="T4">
        <v>2.49720276071257</v>
      </c>
      <c r="U4">
        <v>-5.32594783475699</v>
      </c>
      <c r="V4">
        <v>-10.2204652457536</v>
      </c>
      <c r="W4">
        <v>-0.431430423760362</v>
      </c>
      <c r="X4">
        <v>93</v>
      </c>
      <c r="Y4">
        <v>1</v>
      </c>
    </row>
    <row r="5" spans="1:25" x14ac:dyDescent="0.25">
      <c r="A5">
        <v>21272</v>
      </c>
      <c r="B5">
        <v>471</v>
      </c>
      <c r="C5" t="s">
        <v>83</v>
      </c>
      <c r="D5" s="11" t="s">
        <v>84</v>
      </c>
      <c r="E5" t="s">
        <v>137</v>
      </c>
      <c r="F5" t="s">
        <v>82</v>
      </c>
      <c r="G5" t="s">
        <v>79</v>
      </c>
      <c r="H5">
        <v>0.24203821656051</v>
      </c>
      <c r="I5">
        <v>23.675324930575599</v>
      </c>
      <c r="J5">
        <v>11.8115178173191</v>
      </c>
      <c r="K5">
        <v>-0.93177279839112703</v>
      </c>
      <c r="L5">
        <v>28.261052993868802</v>
      </c>
      <c r="M5">
        <v>31.3647281455928</v>
      </c>
      <c r="N5">
        <v>25.2356366981668</v>
      </c>
      <c r="O5">
        <v>25.435136950940301</v>
      </c>
      <c r="P5">
        <v>21.222585466099201</v>
      </c>
      <c r="Q5">
        <v>30.059330431413802</v>
      </c>
      <c r="R5">
        <v>2.2542716748251599</v>
      </c>
      <c r="S5">
        <v>1.5635437365882601</v>
      </c>
      <c r="T5">
        <v>2.74343029802899</v>
      </c>
      <c r="U5">
        <v>-2.82591604292851</v>
      </c>
      <c r="V5">
        <v>-8.2030394270653293</v>
      </c>
      <c r="W5">
        <v>2.5512073412083098</v>
      </c>
      <c r="X5">
        <v>106</v>
      </c>
      <c r="Y5">
        <v>2</v>
      </c>
    </row>
    <row r="6" spans="1:25" x14ac:dyDescent="0.25">
      <c r="A6">
        <v>12271</v>
      </c>
      <c r="B6">
        <v>206</v>
      </c>
      <c r="C6" t="s">
        <v>75</v>
      </c>
      <c r="D6" s="11" t="s">
        <v>85</v>
      </c>
      <c r="E6" t="s">
        <v>137</v>
      </c>
      <c r="F6" t="s">
        <v>82</v>
      </c>
      <c r="G6" t="s">
        <v>78</v>
      </c>
      <c r="H6">
        <v>0.12621359223301001</v>
      </c>
      <c r="I6">
        <v>12.525250697143701</v>
      </c>
      <c r="J6">
        <v>11.8115178173191</v>
      </c>
      <c r="K6">
        <v>-1.4690118515992301</v>
      </c>
      <c r="L6">
        <v>18.747809933253301</v>
      </c>
      <c r="M6">
        <v>21.196253347317199</v>
      </c>
      <c r="N6">
        <v>16.422092566211401</v>
      </c>
      <c r="O6">
        <v>15.946092846394301</v>
      </c>
      <c r="P6">
        <v>12.527867911606201</v>
      </c>
      <c r="Q6">
        <v>20.147494454141</v>
      </c>
      <c r="R6">
        <v>1.9437822812588701</v>
      </c>
      <c r="S6">
        <v>1.2178981584453501</v>
      </c>
      <c r="T6">
        <v>2.2938102539836498</v>
      </c>
      <c r="U6">
        <v>-2.8017170868589698</v>
      </c>
      <c r="V6">
        <v>-7.29758518466691</v>
      </c>
      <c r="W6">
        <v>1.6941510109489799</v>
      </c>
      <c r="X6">
        <v>84</v>
      </c>
      <c r="Y6">
        <v>3</v>
      </c>
    </row>
    <row r="7" spans="1:25" x14ac:dyDescent="0.25">
      <c r="A7">
        <v>21172</v>
      </c>
      <c r="B7">
        <v>282</v>
      </c>
      <c r="C7" t="s">
        <v>83</v>
      </c>
      <c r="D7" s="11" t="s">
        <v>84</v>
      </c>
      <c r="E7" t="s">
        <v>137</v>
      </c>
      <c r="F7" t="s">
        <v>76</v>
      </c>
      <c r="G7" t="s">
        <v>79</v>
      </c>
      <c r="H7">
        <v>0.15602836879432599</v>
      </c>
      <c r="I7">
        <v>15.2892991326519</v>
      </c>
      <c r="J7">
        <v>11.8115178173191</v>
      </c>
      <c r="K7">
        <v>-1.37511706769135</v>
      </c>
      <c r="L7">
        <v>20.1004153117673</v>
      </c>
      <c r="M7">
        <v>22.872958482460401</v>
      </c>
      <c r="N7">
        <v>17.721671110509</v>
      </c>
      <c r="O7">
        <v>17.690144592054899</v>
      </c>
      <c r="P7">
        <v>14.1266532759721</v>
      </c>
      <c r="Q7">
        <v>22.566865897763599</v>
      </c>
      <c r="R7">
        <v>2.15311546474272</v>
      </c>
      <c r="S7">
        <v>1.31410392141618</v>
      </c>
      <c r="T7">
        <v>2.5224542257086902</v>
      </c>
      <c r="U7">
        <v>-2.4102707197123499</v>
      </c>
      <c r="V7">
        <v>-7.3542810021013896</v>
      </c>
      <c r="W7">
        <v>2.5337395626766801</v>
      </c>
      <c r="X7">
        <v>89</v>
      </c>
      <c r="Y7">
        <v>4</v>
      </c>
    </row>
    <row r="8" spans="1:25" x14ac:dyDescent="0.25">
      <c r="A8">
        <v>22231</v>
      </c>
      <c r="B8">
        <v>160</v>
      </c>
      <c r="C8" t="s">
        <v>83</v>
      </c>
      <c r="D8" s="11" t="s">
        <v>85</v>
      </c>
      <c r="E8" t="s">
        <v>133</v>
      </c>
      <c r="F8" t="s">
        <v>82</v>
      </c>
      <c r="G8" t="s">
        <v>78</v>
      </c>
      <c r="H8">
        <v>0.15625</v>
      </c>
      <c r="I8">
        <v>15.0996534602453</v>
      </c>
      <c r="J8">
        <v>11.8115178173191</v>
      </c>
      <c r="K8">
        <v>-1.3175440905150799</v>
      </c>
      <c r="L8">
        <v>21.1189614561874</v>
      </c>
      <c r="M8">
        <v>23.953473115707499</v>
      </c>
      <c r="N8">
        <v>18.5440263328525</v>
      </c>
      <c r="O8">
        <v>18.879222537833201</v>
      </c>
      <c r="P8">
        <v>14.617572153088499</v>
      </c>
      <c r="Q8">
        <v>23.707378054144801</v>
      </c>
      <c r="R8">
        <v>2.3188280359837599</v>
      </c>
      <c r="S8">
        <v>1.37996091399361</v>
      </c>
      <c r="T8">
        <v>2.6983801779242298</v>
      </c>
      <c r="U8">
        <v>-2.23973891835419</v>
      </c>
      <c r="V8">
        <v>-7.5285640670856804</v>
      </c>
      <c r="W8">
        <v>3.0490862303772901</v>
      </c>
      <c r="X8">
        <v>95</v>
      </c>
      <c r="Y8">
        <v>5</v>
      </c>
    </row>
    <row r="9" spans="1:25" x14ac:dyDescent="0.25">
      <c r="A9">
        <v>21242</v>
      </c>
      <c r="B9">
        <v>119</v>
      </c>
      <c r="C9" t="s">
        <v>83</v>
      </c>
      <c r="D9" s="11" t="s">
        <v>84</v>
      </c>
      <c r="E9" t="s">
        <v>134</v>
      </c>
      <c r="F9" t="s">
        <v>82</v>
      </c>
      <c r="G9" t="s">
        <v>79</v>
      </c>
      <c r="H9">
        <v>0.10084033613445401</v>
      </c>
      <c r="I9">
        <v>10.4320242785634</v>
      </c>
      <c r="J9">
        <v>11.8115178173191</v>
      </c>
      <c r="K9">
        <v>-1.61673224956226</v>
      </c>
      <c r="L9">
        <v>16.636402197270499</v>
      </c>
      <c r="M9">
        <v>19.6706627772171</v>
      </c>
      <c r="N9">
        <v>13.788847699711701</v>
      </c>
      <c r="O9">
        <v>14.5852661066221</v>
      </c>
      <c r="P9">
        <v>10.799313492467499</v>
      </c>
      <c r="Q9">
        <v>19.310574257399299</v>
      </c>
      <c r="R9">
        <v>2.1712399910540299</v>
      </c>
      <c r="S9">
        <v>1.5004630299758499</v>
      </c>
      <c r="T9">
        <v>2.6392560321190102</v>
      </c>
      <c r="U9">
        <v>-2.05113609064842</v>
      </c>
      <c r="V9">
        <v>-7.2240779136016897</v>
      </c>
      <c r="W9">
        <v>3.1218057323048498</v>
      </c>
      <c r="X9">
        <v>79</v>
      </c>
      <c r="Y9">
        <v>6</v>
      </c>
    </row>
    <row r="10" spans="1:25" x14ac:dyDescent="0.25">
      <c r="A10">
        <v>12232</v>
      </c>
      <c r="B10">
        <v>306</v>
      </c>
      <c r="C10" t="s">
        <v>75</v>
      </c>
      <c r="D10" s="11" t="s">
        <v>85</v>
      </c>
      <c r="E10" t="s">
        <v>133</v>
      </c>
      <c r="F10" t="s">
        <v>82</v>
      </c>
      <c r="G10" t="s">
        <v>79</v>
      </c>
      <c r="H10">
        <v>0.13071895424836599</v>
      </c>
      <c r="I10">
        <v>12.968582464716</v>
      </c>
      <c r="J10">
        <v>11.8115178173191</v>
      </c>
      <c r="K10">
        <v>-1.6716103681111201</v>
      </c>
      <c r="L10">
        <v>15.8829260873423</v>
      </c>
      <c r="M10">
        <v>18.073756063808698</v>
      </c>
      <c r="N10">
        <v>13.6944735073132</v>
      </c>
      <c r="O10">
        <v>14.3655065881144</v>
      </c>
      <c r="P10">
        <v>11.3524185484324</v>
      </c>
      <c r="Q10">
        <v>18.0213065114975</v>
      </c>
      <c r="R10">
        <v>1.7012469293533501</v>
      </c>
      <c r="S10">
        <v>1.1171639174733501</v>
      </c>
      <c r="T10">
        <v>2.03526320979342</v>
      </c>
      <c r="U10">
        <v>-1.51741949922787</v>
      </c>
      <c r="V10">
        <v>-5.5065353904229797</v>
      </c>
      <c r="W10">
        <v>2.4716963919672401</v>
      </c>
      <c r="X10">
        <v>77</v>
      </c>
      <c r="Y10">
        <v>7</v>
      </c>
    </row>
    <row r="11" spans="1:25" x14ac:dyDescent="0.25">
      <c r="A11">
        <v>12222</v>
      </c>
      <c r="B11">
        <v>332</v>
      </c>
      <c r="C11" t="s">
        <v>75</v>
      </c>
      <c r="D11" s="11" t="s">
        <v>85</v>
      </c>
      <c r="E11" t="s">
        <v>132</v>
      </c>
      <c r="F11" t="s">
        <v>82</v>
      </c>
      <c r="G11" t="s">
        <v>79</v>
      </c>
      <c r="H11">
        <v>0.11144578313252999</v>
      </c>
      <c r="I11">
        <v>11.1983549029859</v>
      </c>
      <c r="J11">
        <v>11.8115178173191</v>
      </c>
      <c r="K11">
        <v>-1.8365987140209901</v>
      </c>
      <c r="L11">
        <v>13.7437773523797</v>
      </c>
      <c r="M11">
        <v>15.890579203922</v>
      </c>
      <c r="N11">
        <v>11.723068597571</v>
      </c>
      <c r="O11">
        <v>12.409068666973001</v>
      </c>
      <c r="P11">
        <v>9.6383080561659593</v>
      </c>
      <c r="Q11">
        <v>15.930250370244901</v>
      </c>
      <c r="R11">
        <v>1.6050873250201301</v>
      </c>
      <c r="S11">
        <v>1.0631404608038399</v>
      </c>
      <c r="T11">
        <v>1.92524620771954</v>
      </c>
      <c r="U11">
        <v>-1.33470868540677</v>
      </c>
      <c r="V11">
        <v>-5.1081912525370798</v>
      </c>
      <c r="W11">
        <v>2.43877388172353</v>
      </c>
      <c r="X11">
        <v>61</v>
      </c>
      <c r="Y11">
        <v>8</v>
      </c>
    </row>
    <row r="12" spans="1:25" x14ac:dyDescent="0.25">
      <c r="A12">
        <v>12262</v>
      </c>
      <c r="B12">
        <v>222</v>
      </c>
      <c r="C12" t="s">
        <v>75</v>
      </c>
      <c r="D12" s="11" t="s">
        <v>85</v>
      </c>
      <c r="E12" t="s">
        <v>136</v>
      </c>
      <c r="F12" t="s">
        <v>82</v>
      </c>
      <c r="G12" t="s">
        <v>79</v>
      </c>
      <c r="H12">
        <v>0.126126126126126</v>
      </c>
      <c r="I12">
        <v>12.523628510534</v>
      </c>
      <c r="J12">
        <v>11.8115178173191</v>
      </c>
      <c r="K12">
        <v>-1.69033060542414</v>
      </c>
      <c r="L12">
        <v>15.5735480208205</v>
      </c>
      <c r="M12">
        <v>18.2515362431451</v>
      </c>
      <c r="N12">
        <v>13.426692963166699</v>
      </c>
      <c r="O12">
        <v>14.245916153621501</v>
      </c>
      <c r="P12">
        <v>10.920913642538601</v>
      </c>
      <c r="Q12">
        <v>18.517245787073001</v>
      </c>
      <c r="R12">
        <v>1.93783983278938</v>
      </c>
      <c r="S12">
        <v>1.2308273673414101</v>
      </c>
      <c r="T12">
        <v>2.2956827362991099</v>
      </c>
      <c r="U12">
        <v>-1.3276318671990399</v>
      </c>
      <c r="V12">
        <v>-5.8271700303452896</v>
      </c>
      <c r="W12">
        <v>3.1719062959472102</v>
      </c>
      <c r="X12">
        <v>76</v>
      </c>
      <c r="Y12">
        <v>9</v>
      </c>
    </row>
    <row r="13" spans="1:25" x14ac:dyDescent="0.25">
      <c r="A13">
        <v>22272</v>
      </c>
      <c r="B13">
        <v>341</v>
      </c>
      <c r="C13" t="s">
        <v>83</v>
      </c>
      <c r="D13" s="11" t="s">
        <v>85</v>
      </c>
      <c r="E13" t="s">
        <v>137</v>
      </c>
      <c r="F13" t="s">
        <v>82</v>
      </c>
      <c r="G13" t="s">
        <v>79</v>
      </c>
      <c r="H13">
        <v>0.35777126099706702</v>
      </c>
      <c r="I13">
        <v>34.583721104999803</v>
      </c>
      <c r="J13">
        <v>11.8115178173191</v>
      </c>
      <c r="K13">
        <v>-0.50428653334075202</v>
      </c>
      <c r="L13">
        <v>37.728192189026302</v>
      </c>
      <c r="M13">
        <v>41.505328649638102</v>
      </c>
      <c r="N13">
        <v>34.095239809197501</v>
      </c>
      <c r="O13">
        <v>36.446427185522197</v>
      </c>
      <c r="P13">
        <v>30.636084715317502</v>
      </c>
      <c r="Q13">
        <v>41.9022254466256</v>
      </c>
      <c r="R13">
        <v>2.8740154926806398</v>
      </c>
      <c r="S13">
        <v>1.89032878582668</v>
      </c>
      <c r="T13">
        <v>3.4399575536179698</v>
      </c>
      <c r="U13">
        <v>-1.2817650035041901</v>
      </c>
      <c r="V13">
        <v>-8.02408180859541</v>
      </c>
      <c r="W13">
        <v>5.4605518015870196</v>
      </c>
      <c r="X13">
        <v>112</v>
      </c>
      <c r="Y13">
        <v>10</v>
      </c>
    </row>
    <row r="14" spans="1:25" x14ac:dyDescent="0.25">
      <c r="A14">
        <v>21131</v>
      </c>
      <c r="B14">
        <v>199</v>
      </c>
      <c r="C14" t="s">
        <v>83</v>
      </c>
      <c r="D14" s="11" t="s">
        <v>84</v>
      </c>
      <c r="E14" t="s">
        <v>133</v>
      </c>
      <c r="F14" t="s">
        <v>76</v>
      </c>
      <c r="G14" t="s">
        <v>78</v>
      </c>
      <c r="H14">
        <v>6.0301507537688398E-2</v>
      </c>
      <c r="I14">
        <v>6.9093462012360503</v>
      </c>
      <c r="J14">
        <v>11.8115178173191</v>
      </c>
      <c r="K14">
        <v>-2.1883746248656699</v>
      </c>
      <c r="L14">
        <v>10.0717306778372</v>
      </c>
      <c r="M14">
        <v>11.7750348043858</v>
      </c>
      <c r="N14">
        <v>8.5410275632266206</v>
      </c>
      <c r="O14">
        <v>8.7917531598539096</v>
      </c>
      <c r="P14">
        <v>6.51685287268789</v>
      </c>
      <c r="Q14">
        <v>11.7268755180166</v>
      </c>
      <c r="R14">
        <v>1.3290874095226299</v>
      </c>
      <c r="S14">
        <v>0.825001847234483</v>
      </c>
      <c r="T14">
        <v>1.5643213832495799</v>
      </c>
      <c r="U14">
        <v>-1.2799775179833</v>
      </c>
      <c r="V14">
        <v>-4.3460474291524802</v>
      </c>
      <c r="W14">
        <v>1.7860923931858701</v>
      </c>
      <c r="X14">
        <v>36</v>
      </c>
      <c r="Y14">
        <v>11</v>
      </c>
    </row>
    <row r="15" spans="1:25" x14ac:dyDescent="0.25">
      <c r="A15">
        <v>21251</v>
      </c>
      <c r="B15">
        <v>167</v>
      </c>
      <c r="C15" t="s">
        <v>83</v>
      </c>
      <c r="D15" s="11" t="s">
        <v>84</v>
      </c>
      <c r="E15" t="s">
        <v>135</v>
      </c>
      <c r="F15" t="s">
        <v>82</v>
      </c>
      <c r="G15" t="s">
        <v>78</v>
      </c>
      <c r="H15">
        <v>4.7904191616766498E-2</v>
      </c>
      <c r="I15">
        <v>6.0805874794662502</v>
      </c>
      <c r="J15">
        <v>11.8115178173191</v>
      </c>
      <c r="K15">
        <v>-2.2721156372868498</v>
      </c>
      <c r="L15">
        <v>9.3558666355222506</v>
      </c>
      <c r="M15">
        <v>11.1688387260724</v>
      </c>
      <c r="N15">
        <v>7.9118316868659297</v>
      </c>
      <c r="O15">
        <v>8.0913337732325399</v>
      </c>
      <c r="P15">
        <v>5.7672586316483399</v>
      </c>
      <c r="Q15">
        <v>10.9759810424199</v>
      </c>
      <c r="R15">
        <v>1.32875571703357</v>
      </c>
      <c r="S15">
        <v>0.83086914265470302</v>
      </c>
      <c r="T15">
        <v>1.56714239549734</v>
      </c>
      <c r="U15">
        <v>-1.2645328622897101</v>
      </c>
      <c r="V15">
        <v>-4.3361319574644996</v>
      </c>
      <c r="W15">
        <v>1.8070662328850799</v>
      </c>
      <c r="X15">
        <v>30</v>
      </c>
      <c r="Y15">
        <v>12</v>
      </c>
    </row>
    <row r="16" spans="1:25" x14ac:dyDescent="0.25">
      <c r="A16">
        <v>12171</v>
      </c>
      <c r="B16">
        <v>97</v>
      </c>
      <c r="C16" t="s">
        <v>75</v>
      </c>
      <c r="D16" s="11" t="s">
        <v>85</v>
      </c>
      <c r="E16" t="s">
        <v>137</v>
      </c>
      <c r="F16" t="s">
        <v>76</v>
      </c>
      <c r="G16" t="s">
        <v>78</v>
      </c>
      <c r="H16">
        <v>8.2474226804123696E-2</v>
      </c>
      <c r="I16">
        <v>9.1269256387187099</v>
      </c>
      <c r="J16">
        <v>11.8115178173191</v>
      </c>
      <c r="K16">
        <v>-1.91235612089945</v>
      </c>
      <c r="L16">
        <v>12.8786008675216</v>
      </c>
      <c r="M16">
        <v>14.9358423900517</v>
      </c>
      <c r="N16">
        <v>11.1100584134958</v>
      </c>
      <c r="O16">
        <v>11.7506014907094</v>
      </c>
      <c r="P16">
        <v>8.7266600209395495</v>
      </c>
      <c r="Q16">
        <v>15.901260606358299</v>
      </c>
      <c r="R16">
        <v>1.83025525138234</v>
      </c>
      <c r="S16">
        <v>0.97596530014182303</v>
      </c>
      <c r="T16">
        <v>2.0742088979400202</v>
      </c>
      <c r="U16">
        <v>-1.1279993768121901</v>
      </c>
      <c r="V16">
        <v>-5.1934488167746302</v>
      </c>
      <c r="W16">
        <v>2.9374500631502398</v>
      </c>
      <c r="X16">
        <v>57</v>
      </c>
      <c r="Y16">
        <v>13</v>
      </c>
    </row>
    <row r="17" spans="1:25" x14ac:dyDescent="0.25">
      <c r="A17">
        <v>21132</v>
      </c>
      <c r="B17">
        <v>307</v>
      </c>
      <c r="C17" t="s">
        <v>83</v>
      </c>
      <c r="D17" s="11" t="s">
        <v>84</v>
      </c>
      <c r="E17" t="s">
        <v>133</v>
      </c>
      <c r="F17" t="s">
        <v>76</v>
      </c>
      <c r="G17" t="s">
        <v>79</v>
      </c>
      <c r="H17">
        <v>0.11074918566775201</v>
      </c>
      <c r="I17">
        <v>11.1388635545367</v>
      </c>
      <c r="J17">
        <v>11.8115178173191</v>
      </c>
      <c r="K17">
        <v>-1.8830451045344501</v>
      </c>
      <c r="L17">
        <v>13.205566286265499</v>
      </c>
      <c r="M17">
        <v>15.150510643687699</v>
      </c>
      <c r="N17">
        <v>11.369732486863899</v>
      </c>
      <c r="O17">
        <v>12.205395276088799</v>
      </c>
      <c r="P17">
        <v>9.6598207247591006</v>
      </c>
      <c r="Q17">
        <v>15.5729718531397</v>
      </c>
      <c r="R17">
        <v>1.50845692050527</v>
      </c>
      <c r="S17">
        <v>0.96448422367953401</v>
      </c>
      <c r="T17">
        <v>1.79043907987593</v>
      </c>
      <c r="U17">
        <v>-1.00017101017674</v>
      </c>
      <c r="V17">
        <v>-4.5094316067335498</v>
      </c>
      <c r="W17">
        <v>2.50908958638008</v>
      </c>
      <c r="X17">
        <v>59</v>
      </c>
      <c r="Y17">
        <v>14</v>
      </c>
    </row>
    <row r="18" spans="1:25" x14ac:dyDescent="0.25">
      <c r="A18">
        <v>22131</v>
      </c>
      <c r="B18">
        <v>130</v>
      </c>
      <c r="C18" t="s">
        <v>83</v>
      </c>
      <c r="D18" s="11" t="s">
        <v>85</v>
      </c>
      <c r="E18" t="s">
        <v>133</v>
      </c>
      <c r="F18" t="s">
        <v>76</v>
      </c>
      <c r="G18" t="s">
        <v>78</v>
      </c>
      <c r="H18">
        <v>0.107692307692308</v>
      </c>
      <c r="I18">
        <v>10.9614035600887</v>
      </c>
      <c r="J18">
        <v>11.8115178173191</v>
      </c>
      <c r="K18">
        <v>-1.7608883598153</v>
      </c>
      <c r="L18">
        <v>14.6531274762204</v>
      </c>
      <c r="M18">
        <v>17.028049637757999</v>
      </c>
      <c r="N18">
        <v>12.5419422221558</v>
      </c>
      <c r="O18">
        <v>13.6675782648684</v>
      </c>
      <c r="P18">
        <v>10.1701717556729</v>
      </c>
      <c r="Q18">
        <v>17.820616542573301</v>
      </c>
      <c r="R18">
        <v>1.9516440782909299</v>
      </c>
      <c r="S18">
        <v>1.1444151570413801</v>
      </c>
      <c r="T18">
        <v>2.2624324652890899</v>
      </c>
      <c r="U18">
        <v>-0.98554921135195706</v>
      </c>
      <c r="V18">
        <v>-5.41991684331858</v>
      </c>
      <c r="W18">
        <v>3.4488184206146699</v>
      </c>
      <c r="X18">
        <v>71</v>
      </c>
      <c r="Y18">
        <v>15</v>
      </c>
    </row>
    <row r="19" spans="1:25" x14ac:dyDescent="0.25">
      <c r="A19">
        <v>22211</v>
      </c>
      <c r="B19">
        <v>36</v>
      </c>
      <c r="C19" t="s">
        <v>83</v>
      </c>
      <c r="D19" s="11" t="s">
        <v>85</v>
      </c>
      <c r="E19" t="s">
        <v>131</v>
      </c>
      <c r="F19" t="s">
        <v>82</v>
      </c>
      <c r="G19" t="s">
        <v>78</v>
      </c>
      <c r="H19">
        <v>0.11111111111111099</v>
      </c>
      <c r="I19">
        <v>11.4228182694835</v>
      </c>
      <c r="J19">
        <v>11.8115178173191</v>
      </c>
      <c r="K19">
        <v>-1.6194840368633101</v>
      </c>
      <c r="L19">
        <v>16.560688203474101</v>
      </c>
      <c r="M19">
        <v>20.5951772638584</v>
      </c>
      <c r="N19">
        <v>13.0989367276155</v>
      </c>
      <c r="O19">
        <v>15.718735271540201</v>
      </c>
      <c r="P19">
        <v>11.5217444813669</v>
      </c>
      <c r="Q19">
        <v>21.7408212124054</v>
      </c>
      <c r="R19">
        <v>2.6069073293465501</v>
      </c>
      <c r="S19">
        <v>1.9123062592456499</v>
      </c>
      <c r="T19">
        <v>3.2330915627230299</v>
      </c>
      <c r="U19">
        <v>-0.84195293193385901</v>
      </c>
      <c r="V19">
        <v>-7.1788123948709996</v>
      </c>
      <c r="W19">
        <v>5.4949065310032799</v>
      </c>
      <c r="X19">
        <v>83</v>
      </c>
      <c r="Y19">
        <v>16</v>
      </c>
    </row>
    <row r="20" spans="1:25" x14ac:dyDescent="0.25">
      <c r="A20">
        <v>21262</v>
      </c>
      <c r="B20">
        <v>265</v>
      </c>
      <c r="C20" t="s">
        <v>83</v>
      </c>
      <c r="D20" s="11" t="s">
        <v>84</v>
      </c>
      <c r="E20" t="s">
        <v>136</v>
      </c>
      <c r="F20" t="s">
        <v>82</v>
      </c>
      <c r="G20" t="s">
        <v>79</v>
      </c>
      <c r="H20">
        <v>0.17358490566037699</v>
      </c>
      <c r="I20">
        <v>16.8919807087563</v>
      </c>
      <c r="J20">
        <v>11.8115178173191</v>
      </c>
      <c r="K20">
        <v>-1.4584210725472599</v>
      </c>
      <c r="L20">
        <v>18.862051168740699</v>
      </c>
      <c r="M20">
        <v>21.685999819929901</v>
      </c>
      <c r="N20">
        <v>16.2236338292123</v>
      </c>
      <c r="O20">
        <v>18.056968545903199</v>
      </c>
      <c r="P20">
        <v>14.1353227286288</v>
      </c>
      <c r="Q20">
        <v>22.723357810745799</v>
      </c>
      <c r="R20">
        <v>2.19082527605025</v>
      </c>
      <c r="S20">
        <v>1.39346071191776</v>
      </c>
      <c r="T20">
        <v>2.5964298846375602</v>
      </c>
      <c r="U20">
        <v>-0.80508262283744603</v>
      </c>
      <c r="V20">
        <v>-5.89408519672706</v>
      </c>
      <c r="W20">
        <v>4.2839199510521704</v>
      </c>
      <c r="X20">
        <v>92</v>
      </c>
      <c r="Y20">
        <v>17</v>
      </c>
    </row>
    <row r="21" spans="1:25" x14ac:dyDescent="0.25">
      <c r="A21">
        <v>21212</v>
      </c>
      <c r="B21">
        <v>120</v>
      </c>
      <c r="C21" t="s">
        <v>83</v>
      </c>
      <c r="D21" s="11" t="s">
        <v>84</v>
      </c>
      <c r="E21" t="s">
        <v>131</v>
      </c>
      <c r="F21" t="s">
        <v>82</v>
      </c>
      <c r="G21" t="s">
        <v>79</v>
      </c>
      <c r="H21">
        <v>0.116666666666667</v>
      </c>
      <c r="I21">
        <v>11.694527285698699</v>
      </c>
      <c r="J21">
        <v>11.8115178173191</v>
      </c>
      <c r="K21">
        <v>-1.7416407815824599</v>
      </c>
      <c r="L21">
        <v>14.947133803421099</v>
      </c>
      <c r="M21">
        <v>18.228340873974801</v>
      </c>
      <c r="N21">
        <v>12.145980968285</v>
      </c>
      <c r="O21">
        <v>14.1500084205181</v>
      </c>
      <c r="P21">
        <v>10.1894575660993</v>
      </c>
      <c r="Q21">
        <v>19.3481526915096</v>
      </c>
      <c r="R21">
        <v>2.3364018177067001</v>
      </c>
      <c r="S21">
        <v>1.5516224249208901</v>
      </c>
      <c r="T21">
        <v>2.8046934954287899</v>
      </c>
      <c r="U21">
        <v>-0.79712538290309198</v>
      </c>
      <c r="V21">
        <v>-6.2943246339435204</v>
      </c>
      <c r="W21">
        <v>4.7000738681373404</v>
      </c>
      <c r="X21">
        <v>74</v>
      </c>
      <c r="Y21">
        <v>18</v>
      </c>
    </row>
    <row r="22" spans="1:25" x14ac:dyDescent="0.25">
      <c r="A22">
        <v>22111</v>
      </c>
      <c r="B22">
        <v>28</v>
      </c>
      <c r="C22" t="s">
        <v>83</v>
      </c>
      <c r="D22" s="11" t="s">
        <v>85</v>
      </c>
      <c r="E22" t="s">
        <v>131</v>
      </c>
      <c r="F22" t="s">
        <v>76</v>
      </c>
      <c r="G22" t="s">
        <v>78</v>
      </c>
      <c r="H22">
        <v>0</v>
      </c>
      <c r="I22">
        <v>6.66220429051958</v>
      </c>
      <c r="J22">
        <v>11.8115178173191</v>
      </c>
      <c r="K22">
        <v>-2.0628283061635302</v>
      </c>
      <c r="L22">
        <v>11.2470676751597</v>
      </c>
      <c r="M22">
        <v>14.3673913937221</v>
      </c>
      <c r="N22">
        <v>8.7897318446759698</v>
      </c>
      <c r="O22">
        <v>10.4526065479814</v>
      </c>
      <c r="P22">
        <v>7.2264173039274304</v>
      </c>
      <c r="Q22">
        <v>15.0289747340095</v>
      </c>
      <c r="R22">
        <v>1.99044832400052</v>
      </c>
      <c r="S22">
        <v>1.42287233394033</v>
      </c>
      <c r="T22">
        <v>2.4467223400315099</v>
      </c>
      <c r="U22">
        <v>-0.79446112717830897</v>
      </c>
      <c r="V22">
        <v>-5.5900369136400698</v>
      </c>
      <c r="W22">
        <v>4.0011146592834601</v>
      </c>
      <c r="X22">
        <v>49</v>
      </c>
      <c r="Y22">
        <v>19</v>
      </c>
    </row>
    <row r="23" spans="1:25" x14ac:dyDescent="0.25">
      <c r="A23">
        <v>22161</v>
      </c>
      <c r="B23">
        <v>66</v>
      </c>
      <c r="C23" t="s">
        <v>83</v>
      </c>
      <c r="D23" s="11" t="s">
        <v>85</v>
      </c>
      <c r="E23" t="s">
        <v>136</v>
      </c>
      <c r="F23" t="s">
        <v>76</v>
      </c>
      <c r="G23" t="s">
        <v>78</v>
      </c>
      <c r="H23">
        <v>0.10606060606060599</v>
      </c>
      <c r="I23">
        <v>10.9772815091584</v>
      </c>
      <c r="J23">
        <v>11.8115178173191</v>
      </c>
      <c r="K23">
        <v>-1.77960859712832</v>
      </c>
      <c r="L23">
        <v>14.4581905940961</v>
      </c>
      <c r="M23">
        <v>17.0537795169564</v>
      </c>
      <c r="N23">
        <v>11.938115590213499</v>
      </c>
      <c r="O23">
        <v>13.7449824434146</v>
      </c>
      <c r="P23">
        <v>9.8033135943022298</v>
      </c>
      <c r="Q23">
        <v>18.507930302987901</v>
      </c>
      <c r="R23">
        <v>2.2205654869096199</v>
      </c>
      <c r="S23">
        <v>1.30501630784259</v>
      </c>
      <c r="T23">
        <v>2.57565111095996</v>
      </c>
      <c r="U23">
        <v>-0.71320815068157895</v>
      </c>
      <c r="V23">
        <v>-5.7614843281630996</v>
      </c>
      <c r="W23">
        <v>4.3350680267999397</v>
      </c>
      <c r="X23">
        <v>72</v>
      </c>
      <c r="Y23">
        <v>20</v>
      </c>
    </row>
    <row r="24" spans="1:25" x14ac:dyDescent="0.25">
      <c r="A24">
        <v>21122</v>
      </c>
      <c r="B24">
        <v>256</v>
      </c>
      <c r="C24" t="s">
        <v>83</v>
      </c>
      <c r="D24" s="11" t="s">
        <v>84</v>
      </c>
      <c r="E24" t="s">
        <v>132</v>
      </c>
      <c r="F24" t="s">
        <v>76</v>
      </c>
      <c r="G24" t="s">
        <v>79</v>
      </c>
      <c r="H24">
        <v>9.765625E-2</v>
      </c>
      <c r="I24">
        <v>9.9839874605595806</v>
      </c>
      <c r="J24">
        <v>11.8115178173191</v>
      </c>
      <c r="K24">
        <v>-2.0480334504443301</v>
      </c>
      <c r="L24">
        <v>11.3399046892985</v>
      </c>
      <c r="M24">
        <v>13.262542963115701</v>
      </c>
      <c r="N24">
        <v>9.7269149881257597</v>
      </c>
      <c r="O24">
        <v>10.6516110366288</v>
      </c>
      <c r="P24">
        <v>8.3136592670664804</v>
      </c>
      <c r="Q24">
        <v>14.2223274547282</v>
      </c>
      <c r="R24">
        <v>1.507313313179</v>
      </c>
      <c r="S24">
        <v>0.90194591198722396</v>
      </c>
      <c r="T24">
        <v>1.7565590944335201</v>
      </c>
      <c r="U24">
        <v>-0.68829365266963505</v>
      </c>
      <c r="V24">
        <v>-4.1311494777593403</v>
      </c>
      <c r="W24">
        <v>2.7545621724200702</v>
      </c>
      <c r="X24">
        <v>50</v>
      </c>
      <c r="Y24">
        <v>21</v>
      </c>
    </row>
    <row r="25" spans="1:25" x14ac:dyDescent="0.25">
      <c r="A25">
        <v>12251</v>
      </c>
      <c r="B25">
        <v>132</v>
      </c>
      <c r="C25" t="s">
        <v>75</v>
      </c>
      <c r="D25" s="11" t="s">
        <v>85</v>
      </c>
      <c r="E25" t="s">
        <v>135</v>
      </c>
      <c r="F25" t="s">
        <v>82</v>
      </c>
      <c r="G25" t="s">
        <v>78</v>
      </c>
      <c r="H25">
        <v>4.5454545454545497E-2</v>
      </c>
      <c r="I25">
        <v>6.1504073643460098</v>
      </c>
      <c r="J25">
        <v>11.8115178173191</v>
      </c>
      <c r="K25">
        <v>-2.5040251701637399</v>
      </c>
      <c r="L25">
        <v>7.6031109136055397</v>
      </c>
      <c r="M25">
        <v>9.0671068855067496</v>
      </c>
      <c r="N25">
        <v>6.3364420450610899</v>
      </c>
      <c r="O25">
        <v>6.93638842815845</v>
      </c>
      <c r="P25">
        <v>4.9827643394000898</v>
      </c>
      <c r="Q25">
        <v>9.7322714079931103</v>
      </c>
      <c r="R25">
        <v>1.21160894606965</v>
      </c>
      <c r="S25">
        <v>0.69659817358307496</v>
      </c>
      <c r="T25">
        <v>1.3975855085236399</v>
      </c>
      <c r="U25">
        <v>-0.66672248544708701</v>
      </c>
      <c r="V25">
        <v>-3.4059900821534201</v>
      </c>
      <c r="W25">
        <v>2.0725451112592399</v>
      </c>
      <c r="X25">
        <v>20</v>
      </c>
      <c r="Y25">
        <v>22</v>
      </c>
    </row>
    <row r="26" spans="1:25" x14ac:dyDescent="0.25">
      <c r="A26">
        <v>12121</v>
      </c>
      <c r="B26">
        <v>78</v>
      </c>
      <c r="C26" t="s">
        <v>75</v>
      </c>
      <c r="D26" s="11" t="s">
        <v>85</v>
      </c>
      <c r="E26" t="s">
        <v>132</v>
      </c>
      <c r="F26" t="s">
        <v>76</v>
      </c>
      <c r="G26" t="s">
        <v>78</v>
      </c>
      <c r="H26">
        <v>2.5641025641025599E-2</v>
      </c>
      <c r="I26">
        <v>5.6341603239391498</v>
      </c>
      <c r="J26">
        <v>11.8115178173191</v>
      </c>
      <c r="K26">
        <v>-2.5852725036524302</v>
      </c>
      <c r="L26">
        <v>6.9733404910998198</v>
      </c>
      <c r="M26">
        <v>8.4225393633782009</v>
      </c>
      <c r="N26">
        <v>5.8125658024037303</v>
      </c>
      <c r="O26">
        <v>6.3955962237353896</v>
      </c>
      <c r="P26">
        <v>4.6509594043219797</v>
      </c>
      <c r="Q26">
        <v>8.9718898056123404</v>
      </c>
      <c r="R26">
        <v>1.1022781635944801</v>
      </c>
      <c r="S26">
        <v>0.66580958188124095</v>
      </c>
      <c r="T26">
        <v>1.2877575661832099</v>
      </c>
      <c r="U26">
        <v>-0.57774426736442297</v>
      </c>
      <c r="V26">
        <v>-3.10174909708351</v>
      </c>
      <c r="W26">
        <v>1.9462605623546601</v>
      </c>
      <c r="X26">
        <v>13</v>
      </c>
      <c r="Y26">
        <v>23</v>
      </c>
    </row>
    <row r="27" spans="1:25" x14ac:dyDescent="0.25">
      <c r="A27">
        <v>21151</v>
      </c>
      <c r="B27">
        <v>133</v>
      </c>
      <c r="C27" t="s">
        <v>83</v>
      </c>
      <c r="D27" s="11" t="s">
        <v>84</v>
      </c>
      <c r="E27" t="s">
        <v>135</v>
      </c>
      <c r="F27" t="s">
        <v>76</v>
      </c>
      <c r="G27" t="s">
        <v>78</v>
      </c>
      <c r="H27">
        <v>3.00751879699248E-2</v>
      </c>
      <c r="I27">
        <v>5.0607149266630298</v>
      </c>
      <c r="J27">
        <v>11.8115178173191</v>
      </c>
      <c r="K27">
        <v>-2.7154599065870699</v>
      </c>
      <c r="L27">
        <v>6.1956232744814397</v>
      </c>
      <c r="M27">
        <v>7.4826632569091496</v>
      </c>
      <c r="N27">
        <v>5.17700089537668</v>
      </c>
      <c r="O27">
        <v>5.6289945393463299</v>
      </c>
      <c r="P27">
        <v>3.9669813673632501</v>
      </c>
      <c r="Q27">
        <v>7.9229424842695302</v>
      </c>
      <c r="R27">
        <v>1.0091737543128301</v>
      </c>
      <c r="S27">
        <v>0.58817917386032403</v>
      </c>
      <c r="T27">
        <v>1.16806952145703</v>
      </c>
      <c r="U27">
        <v>-0.56662873513510803</v>
      </c>
      <c r="V27">
        <v>-2.8560449971908901</v>
      </c>
      <c r="W27">
        <v>1.7227875269206701</v>
      </c>
      <c r="X27">
        <v>9</v>
      </c>
      <c r="Y27">
        <v>24</v>
      </c>
    </row>
    <row r="28" spans="1:25" x14ac:dyDescent="0.25">
      <c r="A28">
        <v>21162</v>
      </c>
      <c r="B28">
        <v>224</v>
      </c>
      <c r="C28" t="s">
        <v>83</v>
      </c>
      <c r="D28" s="11" t="s">
        <v>84</v>
      </c>
      <c r="E28" t="s">
        <v>136</v>
      </c>
      <c r="F28" t="s">
        <v>76</v>
      </c>
      <c r="G28" t="s">
        <v>79</v>
      </c>
      <c r="H28">
        <v>0.11607142857142901</v>
      </c>
      <c r="I28">
        <v>11.6303153085591</v>
      </c>
      <c r="J28">
        <v>11.8115178173191</v>
      </c>
      <c r="K28">
        <v>-1.90176534184747</v>
      </c>
      <c r="L28">
        <v>12.969312085188699</v>
      </c>
      <c r="M28">
        <v>15.0384355286619</v>
      </c>
      <c r="N28">
        <v>10.8787628856807</v>
      </c>
      <c r="O28">
        <v>12.408760835978599</v>
      </c>
      <c r="P28">
        <v>9.4543159354504098</v>
      </c>
      <c r="Q28">
        <v>15.865831575710301</v>
      </c>
      <c r="R28">
        <v>1.6355907245560899</v>
      </c>
      <c r="S28">
        <v>1.06114098035233</v>
      </c>
      <c r="T28">
        <v>1.94966079060872</v>
      </c>
      <c r="U28">
        <v>-0.56055124921007904</v>
      </c>
      <c r="V28">
        <v>-4.3818863988031698</v>
      </c>
      <c r="W28">
        <v>3.2607839003830099</v>
      </c>
      <c r="X28">
        <v>60</v>
      </c>
      <c r="Y28">
        <v>25</v>
      </c>
    </row>
    <row r="29" spans="1:25" x14ac:dyDescent="0.25">
      <c r="A29">
        <v>11242</v>
      </c>
      <c r="B29">
        <v>162</v>
      </c>
      <c r="C29" t="s">
        <v>75</v>
      </c>
      <c r="D29" s="11" t="s">
        <v>84</v>
      </c>
      <c r="E29" t="s">
        <v>134</v>
      </c>
      <c r="F29" t="s">
        <v>82</v>
      </c>
      <c r="G29" t="s">
        <v>79</v>
      </c>
      <c r="H29">
        <v>7.4074074074074098E-2</v>
      </c>
      <c r="I29">
        <v>8.1586123912796999</v>
      </c>
      <c r="J29">
        <v>11.8115178173191</v>
      </c>
      <c r="K29">
        <v>-2.27612804748953</v>
      </c>
      <c r="L29">
        <v>9.3866963432857204</v>
      </c>
      <c r="M29">
        <v>11.3238676518083</v>
      </c>
      <c r="N29">
        <v>7.7188307869630304</v>
      </c>
      <c r="O29">
        <v>8.8429938796502494</v>
      </c>
      <c r="P29">
        <v>6.4071832757142797</v>
      </c>
      <c r="Q29">
        <v>12.0658967052281</v>
      </c>
      <c r="R29">
        <v>1.4435493442637299</v>
      </c>
      <c r="S29">
        <v>0.91965226144011403</v>
      </c>
      <c r="T29">
        <v>1.7116059684682601</v>
      </c>
      <c r="U29">
        <v>-0.54370246363546004</v>
      </c>
      <c r="V29">
        <v>-3.8984501618332499</v>
      </c>
      <c r="W29">
        <v>2.81104523456233</v>
      </c>
      <c r="X29">
        <v>37</v>
      </c>
      <c r="Y29">
        <v>26</v>
      </c>
    </row>
    <row r="30" spans="1:25" x14ac:dyDescent="0.25">
      <c r="A30">
        <v>11261</v>
      </c>
      <c r="B30">
        <v>114</v>
      </c>
      <c r="C30" t="s">
        <v>75</v>
      </c>
      <c r="D30" s="11" t="s">
        <v>84</v>
      </c>
      <c r="E30" t="s">
        <v>136</v>
      </c>
      <c r="F30" t="s">
        <v>82</v>
      </c>
      <c r="G30" t="s">
        <v>78</v>
      </c>
      <c r="H30">
        <v>5.2631578947368397E-2</v>
      </c>
      <c r="I30">
        <v>6.8300987421996204</v>
      </c>
      <c r="J30">
        <v>11.8115178173191</v>
      </c>
      <c r="K30">
        <v>-2.4231463908057398</v>
      </c>
      <c r="L30">
        <v>8.1726761272598107</v>
      </c>
      <c r="M30">
        <v>9.8006177101919008</v>
      </c>
      <c r="N30">
        <v>6.8027887610760001</v>
      </c>
      <c r="O30">
        <v>7.6706235755247203</v>
      </c>
      <c r="P30">
        <v>5.5115685626042996</v>
      </c>
      <c r="Q30">
        <v>10.4816377405807</v>
      </c>
      <c r="R30">
        <v>1.26787479030011</v>
      </c>
      <c r="S30">
        <v>0.76475228293772901</v>
      </c>
      <c r="T30">
        <v>1.4806594943257601</v>
      </c>
      <c r="U30">
        <v>-0.502052551735088</v>
      </c>
      <c r="V30">
        <v>-3.40414516061358</v>
      </c>
      <c r="W30">
        <v>2.4000400571434102</v>
      </c>
      <c r="X30">
        <v>24</v>
      </c>
      <c r="Y30">
        <v>27</v>
      </c>
    </row>
    <row r="31" spans="1:25" x14ac:dyDescent="0.25">
      <c r="A31">
        <v>21222</v>
      </c>
      <c r="B31">
        <v>324</v>
      </c>
      <c r="C31" t="s">
        <v>83</v>
      </c>
      <c r="D31" s="11" t="s">
        <v>84</v>
      </c>
      <c r="E31" t="s">
        <v>132</v>
      </c>
      <c r="F31" t="s">
        <v>82</v>
      </c>
      <c r="G31" t="s">
        <v>79</v>
      </c>
      <c r="H31">
        <v>0.157407407407407</v>
      </c>
      <c r="I31">
        <v>15.456116541342601</v>
      </c>
      <c r="J31">
        <v>11.8115178173191</v>
      </c>
      <c r="K31">
        <v>-1.60468918114411</v>
      </c>
      <c r="L31">
        <v>16.7277253033606</v>
      </c>
      <c r="M31">
        <v>19.2628910642322</v>
      </c>
      <c r="N31">
        <v>14.440574597924799</v>
      </c>
      <c r="O31">
        <v>16.248122070628</v>
      </c>
      <c r="P31">
        <v>12.7449258007337</v>
      </c>
      <c r="Q31">
        <v>20.3966946560212</v>
      </c>
      <c r="R31">
        <v>1.9519818508386499</v>
      </c>
      <c r="S31">
        <v>1.2301827720171801</v>
      </c>
      <c r="T31">
        <v>2.3072890583044301</v>
      </c>
      <c r="U31">
        <v>-0.47960323273254302</v>
      </c>
      <c r="V31">
        <v>-5.0018897870092198</v>
      </c>
      <c r="W31">
        <v>4.0426833215441302</v>
      </c>
      <c r="X31">
        <v>85</v>
      </c>
      <c r="Y31">
        <v>28</v>
      </c>
    </row>
    <row r="32" spans="1:25" x14ac:dyDescent="0.25">
      <c r="A32">
        <v>22112</v>
      </c>
      <c r="B32">
        <v>45</v>
      </c>
      <c r="C32" t="s">
        <v>83</v>
      </c>
      <c r="D32" s="11" t="s">
        <v>85</v>
      </c>
      <c r="E32" t="s">
        <v>131</v>
      </c>
      <c r="F32" t="s">
        <v>76</v>
      </c>
      <c r="G32" t="s">
        <v>79</v>
      </c>
      <c r="H32">
        <v>0.11111111111111099</v>
      </c>
      <c r="I32">
        <v>11.385079204142899</v>
      </c>
      <c r="J32">
        <v>11.8115178173191</v>
      </c>
      <c r="K32">
        <v>-1.7574987858323099</v>
      </c>
      <c r="L32">
        <v>14.6984774378806</v>
      </c>
      <c r="M32">
        <v>18.253471189041001</v>
      </c>
      <c r="N32">
        <v>11.733792347629301</v>
      </c>
      <c r="O32">
        <v>14.2203808669101</v>
      </c>
      <c r="P32">
        <v>10.1372837864216</v>
      </c>
      <c r="Q32">
        <v>20.098123467691799</v>
      </c>
      <c r="R32">
        <v>2.54103053093626</v>
      </c>
      <c r="S32">
        <v>1.66318337791115</v>
      </c>
      <c r="T32">
        <v>3.0369417359755402</v>
      </c>
      <c r="U32">
        <v>-0.47809657097054797</v>
      </c>
      <c r="V32">
        <v>-6.4305023734826099</v>
      </c>
      <c r="W32">
        <v>5.4743092315415103</v>
      </c>
      <c r="X32">
        <v>75</v>
      </c>
      <c r="Y32">
        <v>29</v>
      </c>
    </row>
    <row r="33" spans="1:25" x14ac:dyDescent="0.25">
      <c r="A33">
        <v>12131</v>
      </c>
      <c r="B33">
        <v>155</v>
      </c>
      <c r="C33" t="s">
        <v>75</v>
      </c>
      <c r="D33" s="11" t="s">
        <v>85</v>
      </c>
      <c r="E33" t="s">
        <v>133</v>
      </c>
      <c r="F33" t="s">
        <v>76</v>
      </c>
      <c r="G33" t="s">
        <v>78</v>
      </c>
      <c r="H33">
        <v>6.4516129032258104E-2</v>
      </c>
      <c r="I33">
        <v>7.4305772236288998</v>
      </c>
      <c r="J33">
        <v>11.8115178173191</v>
      </c>
      <c r="K33">
        <v>-2.42028415774256</v>
      </c>
      <c r="L33">
        <v>8.1517670617682398</v>
      </c>
      <c r="M33">
        <v>9.6321704789028306</v>
      </c>
      <c r="N33">
        <v>6.8768688081476901</v>
      </c>
      <c r="O33">
        <v>7.6953982785868202</v>
      </c>
      <c r="P33">
        <v>5.6521009199485297</v>
      </c>
      <c r="Q33">
        <v>10.530306672889701</v>
      </c>
      <c r="R33">
        <v>1.2444402430972299</v>
      </c>
      <c r="S33">
        <v>0.70288307927426996</v>
      </c>
      <c r="T33">
        <v>1.4292222156718599</v>
      </c>
      <c r="U33">
        <v>-0.45636878318141799</v>
      </c>
      <c r="V33">
        <v>-3.2576443258982599</v>
      </c>
      <c r="W33">
        <v>2.34490675953543</v>
      </c>
      <c r="X33">
        <v>26</v>
      </c>
      <c r="Y33">
        <v>30</v>
      </c>
    </row>
    <row r="34" spans="1:25" x14ac:dyDescent="0.25">
      <c r="A34">
        <v>11272</v>
      </c>
      <c r="B34">
        <v>488</v>
      </c>
      <c r="C34" t="s">
        <v>75</v>
      </c>
      <c r="D34" s="11" t="s">
        <v>84</v>
      </c>
      <c r="E34" t="s">
        <v>137</v>
      </c>
      <c r="F34" t="s">
        <v>82</v>
      </c>
      <c r="G34" t="s">
        <v>79</v>
      </c>
      <c r="H34">
        <v>0.16393442622950799</v>
      </c>
      <c r="I34">
        <v>16.171815057393701</v>
      </c>
      <c r="J34">
        <v>11.8115178173191</v>
      </c>
      <c r="K34">
        <v>-1.5911685963183899</v>
      </c>
      <c r="L34">
        <v>16.974381938813401</v>
      </c>
      <c r="M34">
        <v>19.1797030003566</v>
      </c>
      <c r="N34">
        <v>14.8062035877805</v>
      </c>
      <c r="O34">
        <v>16.561689179825699</v>
      </c>
      <c r="P34">
        <v>13.617052556121999</v>
      </c>
      <c r="Q34">
        <v>20.393465356120899</v>
      </c>
      <c r="R34">
        <v>1.7286767346936101</v>
      </c>
      <c r="S34">
        <v>1.1156886256571501</v>
      </c>
      <c r="T34">
        <v>2.0574460776632</v>
      </c>
      <c r="U34">
        <v>-0.41269275898767799</v>
      </c>
      <c r="V34">
        <v>-4.4452870712075496</v>
      </c>
      <c r="W34">
        <v>3.6199015532321899</v>
      </c>
      <c r="X34">
        <v>86</v>
      </c>
      <c r="Y34">
        <v>31</v>
      </c>
    </row>
    <row r="35" spans="1:25" x14ac:dyDescent="0.25">
      <c r="A35">
        <v>12242</v>
      </c>
      <c r="B35">
        <v>100</v>
      </c>
      <c r="C35" t="s">
        <v>75</v>
      </c>
      <c r="D35" s="11" t="s">
        <v>85</v>
      </c>
      <c r="E35" t="s">
        <v>134</v>
      </c>
      <c r="F35" t="s">
        <v>82</v>
      </c>
      <c r="G35" t="s">
        <v>79</v>
      </c>
      <c r="H35">
        <v>0.12</v>
      </c>
      <c r="I35">
        <v>11.958422381336099</v>
      </c>
      <c r="J35">
        <v>11.8115178173191</v>
      </c>
      <c r="K35">
        <v>-1.8486417824391499</v>
      </c>
      <c r="L35">
        <v>13.653595106725801</v>
      </c>
      <c r="M35">
        <v>16.4667757447464</v>
      </c>
      <c r="N35">
        <v>11.516378807975601</v>
      </c>
      <c r="O35">
        <v>13.2538654115548</v>
      </c>
      <c r="P35">
        <v>9.5704042914086198</v>
      </c>
      <c r="Q35">
        <v>17.7116740912472</v>
      </c>
      <c r="R35">
        <v>2.0768545407751602</v>
      </c>
      <c r="S35">
        <v>1.2628563614211199</v>
      </c>
      <c r="T35">
        <v>2.4306647183682402</v>
      </c>
      <c r="U35">
        <v>-0.39972969517101298</v>
      </c>
      <c r="V35">
        <v>-5.1638325431727701</v>
      </c>
      <c r="W35">
        <v>4.3643731528307397</v>
      </c>
      <c r="X35">
        <v>68</v>
      </c>
      <c r="Y35">
        <v>32</v>
      </c>
    </row>
    <row r="36" spans="1:25" x14ac:dyDescent="0.25">
      <c r="A36">
        <v>12161</v>
      </c>
      <c r="B36">
        <v>43</v>
      </c>
      <c r="C36" t="s">
        <v>75</v>
      </c>
      <c r="D36" s="11" t="s">
        <v>85</v>
      </c>
      <c r="E36" t="s">
        <v>136</v>
      </c>
      <c r="F36" t="s">
        <v>76</v>
      </c>
      <c r="G36" t="s">
        <v>78</v>
      </c>
      <c r="H36">
        <v>4.6511627906976702E-2</v>
      </c>
      <c r="I36">
        <v>7.8091842810123602</v>
      </c>
      <c r="J36">
        <v>11.8115178173191</v>
      </c>
      <c r="K36">
        <v>-2.43900439505558</v>
      </c>
      <c r="L36">
        <v>8.0314069542296895</v>
      </c>
      <c r="M36">
        <v>9.6252719479351807</v>
      </c>
      <c r="N36">
        <v>6.5972235777285704</v>
      </c>
      <c r="O36">
        <v>7.6917746730539198</v>
      </c>
      <c r="P36">
        <v>5.4996091643465004</v>
      </c>
      <c r="Q36">
        <v>10.7138865413194</v>
      </c>
      <c r="R36">
        <v>1.3301728002481801</v>
      </c>
      <c r="S36">
        <v>0.77246131893025805</v>
      </c>
      <c r="T36">
        <v>1.53819900135306</v>
      </c>
      <c r="U36">
        <v>-0.33963228117577199</v>
      </c>
      <c r="V36">
        <v>-3.3545023238277798</v>
      </c>
      <c r="W36">
        <v>2.6752377614762302</v>
      </c>
      <c r="X36">
        <v>25</v>
      </c>
      <c r="Y36">
        <v>33</v>
      </c>
    </row>
    <row r="37" spans="1:25" x14ac:dyDescent="0.25">
      <c r="A37">
        <v>22222</v>
      </c>
      <c r="B37">
        <v>302</v>
      </c>
      <c r="C37" t="s">
        <v>83</v>
      </c>
      <c r="D37" s="11" t="s">
        <v>85</v>
      </c>
      <c r="E37" t="s">
        <v>132</v>
      </c>
      <c r="F37" t="s">
        <v>82</v>
      </c>
      <c r="G37" t="s">
        <v>79</v>
      </c>
      <c r="H37">
        <v>0.22847682119205301</v>
      </c>
      <c r="I37">
        <v>22.110468211851501</v>
      </c>
      <c r="J37">
        <v>11.8115178173191</v>
      </c>
      <c r="K37">
        <v>-1.1772029160937301</v>
      </c>
      <c r="L37">
        <v>23.5144581578867</v>
      </c>
      <c r="M37">
        <v>26.633200270677101</v>
      </c>
      <c r="N37">
        <v>20.6440963886749</v>
      </c>
      <c r="O37">
        <v>23.188265755612701</v>
      </c>
      <c r="P37">
        <v>18.902662663166701</v>
      </c>
      <c r="Q37">
        <v>28.687344877991599</v>
      </c>
      <c r="R37">
        <v>2.4960924017410502</v>
      </c>
      <c r="S37">
        <v>1.5278326229597401</v>
      </c>
      <c r="T37">
        <v>2.9265593795119602</v>
      </c>
      <c r="U37">
        <v>-0.32619240227406399</v>
      </c>
      <c r="V37">
        <v>-6.0622487861175003</v>
      </c>
      <c r="W37">
        <v>5.4098639815693801</v>
      </c>
      <c r="X37">
        <v>104</v>
      </c>
      <c r="Y37">
        <v>34</v>
      </c>
    </row>
    <row r="38" spans="1:25" x14ac:dyDescent="0.25">
      <c r="A38">
        <v>21161</v>
      </c>
      <c r="B38">
        <v>68</v>
      </c>
      <c r="C38" t="s">
        <v>83</v>
      </c>
      <c r="D38" s="11" t="s">
        <v>84</v>
      </c>
      <c r="E38" t="s">
        <v>136</v>
      </c>
      <c r="F38" t="s">
        <v>76</v>
      </c>
      <c r="G38" t="s">
        <v>78</v>
      </c>
      <c r="H38">
        <v>7.3529411764705899E-2</v>
      </c>
      <c r="I38">
        <v>8.7884495724568392</v>
      </c>
      <c r="J38">
        <v>11.8115178173191</v>
      </c>
      <c r="K38">
        <v>-2.2070948621787001</v>
      </c>
      <c r="L38">
        <v>9.8856372038767404</v>
      </c>
      <c r="M38">
        <v>11.7551533538849</v>
      </c>
      <c r="N38">
        <v>8.2192901904068005</v>
      </c>
      <c r="O38">
        <v>9.5721071885079407</v>
      </c>
      <c r="P38">
        <v>6.9655911599289801</v>
      </c>
      <c r="Q38">
        <v>13.183954439912799</v>
      </c>
      <c r="R38">
        <v>1.5863171632611901</v>
      </c>
      <c r="S38">
        <v>0.90200590905052602</v>
      </c>
      <c r="T38">
        <v>1.8248333629181299</v>
      </c>
      <c r="U38">
        <v>-0.31353001536880098</v>
      </c>
      <c r="V38">
        <v>-3.8902034066883302</v>
      </c>
      <c r="W38">
        <v>3.26314337595073</v>
      </c>
      <c r="X38">
        <v>43</v>
      </c>
      <c r="Y38">
        <v>35</v>
      </c>
    </row>
    <row r="39" spans="1:25" x14ac:dyDescent="0.25">
      <c r="A39">
        <v>12112</v>
      </c>
      <c r="B39">
        <v>64</v>
      </c>
      <c r="C39" t="s">
        <v>75</v>
      </c>
      <c r="D39" s="11" t="s">
        <v>85</v>
      </c>
      <c r="E39" t="s">
        <v>131</v>
      </c>
      <c r="F39" t="s">
        <v>76</v>
      </c>
      <c r="G39" t="s">
        <v>79</v>
      </c>
      <c r="H39">
        <v>6.25E-2</v>
      </c>
      <c r="I39">
        <v>8.1542095310420706</v>
      </c>
      <c r="J39">
        <v>11.8115178173191</v>
      </c>
      <c r="K39">
        <v>-2.4168945837595701</v>
      </c>
      <c r="L39">
        <v>8.1940405639480094</v>
      </c>
      <c r="M39">
        <v>10.386245504293999</v>
      </c>
      <c r="N39">
        <v>6.5029277195323401</v>
      </c>
      <c r="O39">
        <v>7.9258483847779502</v>
      </c>
      <c r="P39">
        <v>5.5379143783046603</v>
      </c>
      <c r="Q39">
        <v>11.502811262855801</v>
      </c>
      <c r="R39">
        <v>1.52165736850795</v>
      </c>
      <c r="S39">
        <v>0.99064229203104404</v>
      </c>
      <c r="T39">
        <v>1.81571288971992</v>
      </c>
      <c r="U39">
        <v>-0.268192179170051</v>
      </c>
      <c r="V39">
        <v>-3.8269894430211</v>
      </c>
      <c r="W39">
        <v>3.2906050846810002</v>
      </c>
      <c r="X39">
        <v>28</v>
      </c>
      <c r="Y39">
        <v>36</v>
      </c>
    </row>
    <row r="40" spans="1:25" x14ac:dyDescent="0.25">
      <c r="A40">
        <v>12241</v>
      </c>
      <c r="B40">
        <v>46</v>
      </c>
      <c r="C40" t="s">
        <v>75</v>
      </c>
      <c r="D40" s="11" t="s">
        <v>85</v>
      </c>
      <c r="E40" t="s">
        <v>134</v>
      </c>
      <c r="F40" t="s">
        <v>82</v>
      </c>
      <c r="G40" t="s">
        <v>78</v>
      </c>
      <c r="H40">
        <v>8.6956521739130405E-2</v>
      </c>
      <c r="I40">
        <v>9.9414451681317004</v>
      </c>
      <c r="J40">
        <v>11.8115178173191</v>
      </c>
      <c r="K40">
        <v>-2.15397130277037</v>
      </c>
      <c r="L40">
        <v>10.475647837755</v>
      </c>
      <c r="M40">
        <v>12.7692728587063</v>
      </c>
      <c r="N40">
        <v>8.6588681839371997</v>
      </c>
      <c r="O40">
        <v>10.211100376766399</v>
      </c>
      <c r="P40">
        <v>7.2711106134957104</v>
      </c>
      <c r="Q40">
        <v>14.122292164788499</v>
      </c>
      <c r="R40">
        <v>1.7477503957379501</v>
      </c>
      <c r="S40">
        <v>1.0485726211145601</v>
      </c>
      <c r="T40">
        <v>2.0381697641642198</v>
      </c>
      <c r="U40">
        <v>-0.26454746098863402</v>
      </c>
      <c r="V40">
        <v>-4.2593601987505103</v>
      </c>
      <c r="W40">
        <v>3.73026527677324</v>
      </c>
      <c r="X40">
        <v>47</v>
      </c>
      <c r="Y40">
        <v>37</v>
      </c>
    </row>
    <row r="41" spans="1:25" x14ac:dyDescent="0.25">
      <c r="A41">
        <v>12221</v>
      </c>
      <c r="B41">
        <v>106</v>
      </c>
      <c r="C41" t="s">
        <v>75</v>
      </c>
      <c r="D41" s="11" t="s">
        <v>85</v>
      </c>
      <c r="E41" t="s">
        <v>132</v>
      </c>
      <c r="F41" t="s">
        <v>82</v>
      </c>
      <c r="G41" t="s">
        <v>78</v>
      </c>
      <c r="H41">
        <v>9.4339622641509399E-2</v>
      </c>
      <c r="I41">
        <v>9.9667083482288596</v>
      </c>
      <c r="J41">
        <v>11.8115178173191</v>
      </c>
      <c r="K41">
        <v>-2.1419282343522101</v>
      </c>
      <c r="L41">
        <v>10.5226590060667</v>
      </c>
      <c r="M41">
        <v>12.493090404922199</v>
      </c>
      <c r="N41">
        <v>8.9105634731661496</v>
      </c>
      <c r="O41">
        <v>10.2761989075966</v>
      </c>
      <c r="P41">
        <v>7.4869725595824503</v>
      </c>
      <c r="Q41">
        <v>13.689238257374701</v>
      </c>
      <c r="R41">
        <v>1.58221063719191</v>
      </c>
      <c r="S41">
        <v>0.913909931570419</v>
      </c>
      <c r="T41">
        <v>1.8271896079679999</v>
      </c>
      <c r="U41">
        <v>-0.24646009847009001</v>
      </c>
      <c r="V41">
        <v>-3.82775173008738</v>
      </c>
      <c r="W41">
        <v>3.3348315331472</v>
      </c>
      <c r="X41">
        <v>48</v>
      </c>
      <c r="Y41">
        <v>38</v>
      </c>
    </row>
    <row r="42" spans="1:25" x14ac:dyDescent="0.25">
      <c r="A42">
        <v>21142</v>
      </c>
      <c r="B42">
        <v>160</v>
      </c>
      <c r="C42" t="s">
        <v>83</v>
      </c>
      <c r="D42" s="11" t="s">
        <v>84</v>
      </c>
      <c r="E42" t="s">
        <v>134</v>
      </c>
      <c r="F42" t="s">
        <v>76</v>
      </c>
      <c r="G42" t="s">
        <v>79</v>
      </c>
      <c r="H42">
        <v>0.10625</v>
      </c>
      <c r="I42">
        <v>10.810044391008301</v>
      </c>
      <c r="J42">
        <v>11.8115178173191</v>
      </c>
      <c r="K42">
        <v>-2.0600765188624801</v>
      </c>
      <c r="L42">
        <v>11.337382841979901</v>
      </c>
      <c r="M42">
        <v>13.5187671265425</v>
      </c>
      <c r="N42">
        <v>9.3351114865422495</v>
      </c>
      <c r="O42">
        <v>11.094419115667799</v>
      </c>
      <c r="P42">
        <v>8.0937572057392195</v>
      </c>
      <c r="Q42">
        <v>15.065077832099799</v>
      </c>
      <c r="R42">
        <v>1.7783981189695299</v>
      </c>
      <c r="S42">
        <v>1.0672590918368099</v>
      </c>
      <c r="T42">
        <v>2.0740640874048899</v>
      </c>
      <c r="U42">
        <v>-0.242963726312137</v>
      </c>
      <c r="V42">
        <v>-4.3081293376257301</v>
      </c>
      <c r="W42">
        <v>3.8222018850014501</v>
      </c>
      <c r="X42">
        <v>53</v>
      </c>
      <c r="Y42">
        <v>39</v>
      </c>
    </row>
    <row r="43" spans="1:25" x14ac:dyDescent="0.25">
      <c r="A43">
        <v>11241</v>
      </c>
      <c r="B43">
        <v>87</v>
      </c>
      <c r="C43" t="s">
        <v>75</v>
      </c>
      <c r="D43" s="11" t="s">
        <v>84</v>
      </c>
      <c r="E43" t="s">
        <v>134</v>
      </c>
      <c r="F43" t="s">
        <v>82</v>
      </c>
      <c r="G43" t="s">
        <v>78</v>
      </c>
      <c r="H43">
        <v>5.7471264367816098E-2</v>
      </c>
      <c r="I43">
        <v>7.4711924171024604</v>
      </c>
      <c r="J43">
        <v>11.8115178173191</v>
      </c>
      <c r="K43">
        <v>-2.5814575678207499</v>
      </c>
      <c r="L43">
        <v>7.10412741212554</v>
      </c>
      <c r="M43">
        <v>8.6034968160018703</v>
      </c>
      <c r="N43">
        <v>5.7826530844125204</v>
      </c>
      <c r="O43">
        <v>6.8699859532143996</v>
      </c>
      <c r="P43">
        <v>4.8422577779498903</v>
      </c>
      <c r="Q43">
        <v>9.9027029015569106</v>
      </c>
      <c r="R43">
        <v>1.29092987847118</v>
      </c>
      <c r="S43">
        <v>0.71960299275238604</v>
      </c>
      <c r="T43">
        <v>1.47794736655532</v>
      </c>
      <c r="U43">
        <v>-0.23414145891114699</v>
      </c>
      <c r="V43">
        <v>-3.1309182973595702</v>
      </c>
      <c r="W43">
        <v>2.6626353795372699</v>
      </c>
      <c r="X43">
        <v>19</v>
      </c>
      <c r="Y43">
        <v>40</v>
      </c>
    </row>
    <row r="44" spans="1:25" x14ac:dyDescent="0.25">
      <c r="A44">
        <v>22151</v>
      </c>
      <c r="B44">
        <v>118</v>
      </c>
      <c r="C44" t="s">
        <v>83</v>
      </c>
      <c r="D44" s="11" t="s">
        <v>85</v>
      </c>
      <c r="E44" t="s">
        <v>135</v>
      </c>
      <c r="F44" t="s">
        <v>76</v>
      </c>
      <c r="G44" t="s">
        <v>78</v>
      </c>
      <c r="H44">
        <v>8.4745762711864403E-2</v>
      </c>
      <c r="I44">
        <v>9.1811726276479604</v>
      </c>
      <c r="J44">
        <v>11.8115178173191</v>
      </c>
      <c r="K44">
        <v>-2.2879736415366998</v>
      </c>
      <c r="L44">
        <v>9.2385098608404004</v>
      </c>
      <c r="M44">
        <v>11.0201121665666</v>
      </c>
      <c r="N44">
        <v>7.7172033842146801</v>
      </c>
      <c r="O44">
        <v>9.0058029323971596</v>
      </c>
      <c r="P44">
        <v>6.50038030387684</v>
      </c>
      <c r="Q44">
        <v>12.235300842125101</v>
      </c>
      <c r="R44">
        <v>1.4629899332266101</v>
      </c>
      <c r="S44">
        <v>0.84257877100814604</v>
      </c>
      <c r="T44">
        <v>1.68827679308696</v>
      </c>
      <c r="U44">
        <v>-0.23270692844324101</v>
      </c>
      <c r="V44">
        <v>-3.5417294428936801</v>
      </c>
      <c r="W44">
        <v>3.0763155860071998</v>
      </c>
      <c r="X44">
        <v>38</v>
      </c>
      <c r="Y44">
        <v>41</v>
      </c>
    </row>
    <row r="45" spans="1:25" x14ac:dyDescent="0.25">
      <c r="A45">
        <v>11252</v>
      </c>
      <c r="B45">
        <v>314</v>
      </c>
      <c r="C45" t="s">
        <v>75</v>
      </c>
      <c r="D45" s="11" t="s">
        <v>84</v>
      </c>
      <c r="E45" t="s">
        <v>135</v>
      </c>
      <c r="F45" t="s">
        <v>82</v>
      </c>
      <c r="G45" t="s">
        <v>79</v>
      </c>
      <c r="H45">
        <v>6.0509554140127403E-2</v>
      </c>
      <c r="I45">
        <v>6.6473018236515804</v>
      </c>
      <c r="J45">
        <v>11.8115178173191</v>
      </c>
      <c r="K45">
        <v>-2.6261819148828902</v>
      </c>
      <c r="L45">
        <v>6.8002954382268603</v>
      </c>
      <c r="M45">
        <v>7.9495605885246103</v>
      </c>
      <c r="N45">
        <v>5.6451231105242599</v>
      </c>
      <c r="O45">
        <v>6.5841967263537704</v>
      </c>
      <c r="P45">
        <v>4.8910271114361397</v>
      </c>
      <c r="Q45">
        <v>8.7151508870183196</v>
      </c>
      <c r="R45">
        <v>0.975541779485252</v>
      </c>
      <c r="S45">
        <v>0.58786670357151605</v>
      </c>
      <c r="T45">
        <v>1.13897718356835</v>
      </c>
      <c r="U45">
        <v>-0.21609871187308599</v>
      </c>
      <c r="V45">
        <v>-2.4484939916670498</v>
      </c>
      <c r="W45">
        <v>2.0162965679208802</v>
      </c>
      <c r="X45">
        <v>15</v>
      </c>
      <c r="Y45">
        <v>42</v>
      </c>
    </row>
    <row r="46" spans="1:25" x14ac:dyDescent="0.25">
      <c r="A46">
        <v>21141</v>
      </c>
      <c r="B46">
        <v>88</v>
      </c>
      <c r="C46" t="s">
        <v>83</v>
      </c>
      <c r="D46" s="11" t="s">
        <v>84</v>
      </c>
      <c r="E46" t="s">
        <v>134</v>
      </c>
      <c r="F46" t="s">
        <v>76</v>
      </c>
      <c r="G46" t="s">
        <v>78</v>
      </c>
      <c r="H46">
        <v>6.8181818181818205E-2</v>
      </c>
      <c r="I46">
        <v>8.1879266485615805</v>
      </c>
      <c r="J46">
        <v>11.8115178173191</v>
      </c>
      <c r="K46">
        <v>-2.3654060391937102</v>
      </c>
      <c r="L46">
        <v>8.5975867858945492</v>
      </c>
      <c r="M46">
        <v>10.5249675204662</v>
      </c>
      <c r="N46">
        <v>6.9716169790906299</v>
      </c>
      <c r="O46">
        <v>8.4095626294936796</v>
      </c>
      <c r="P46">
        <v>5.9328766599941698</v>
      </c>
      <c r="Q46">
        <v>11.616706748360301</v>
      </c>
      <c r="R46">
        <v>1.4499566551954499</v>
      </c>
      <c r="S46">
        <v>0.90646697484071104</v>
      </c>
      <c r="T46">
        <v>1.70998733282514</v>
      </c>
      <c r="U46">
        <v>-0.188024156400866</v>
      </c>
      <c r="V46">
        <v>-3.53959932873815</v>
      </c>
      <c r="W46">
        <v>3.16355101593641</v>
      </c>
      <c r="X46">
        <v>32</v>
      </c>
      <c r="Y46">
        <v>43</v>
      </c>
    </row>
    <row r="47" spans="1:25" x14ac:dyDescent="0.25">
      <c r="A47">
        <v>21111</v>
      </c>
      <c r="B47">
        <v>31</v>
      </c>
      <c r="C47" t="s">
        <v>83</v>
      </c>
      <c r="D47" s="11" t="s">
        <v>84</v>
      </c>
      <c r="E47" t="s">
        <v>131</v>
      </c>
      <c r="F47" t="s">
        <v>76</v>
      </c>
      <c r="G47" t="s">
        <v>78</v>
      </c>
      <c r="H47">
        <v>3.2258064516128997E-2</v>
      </c>
      <c r="I47">
        <v>7.7222854709654296</v>
      </c>
      <c r="J47">
        <v>11.8115178173191</v>
      </c>
      <c r="K47">
        <v>-2.4903145712138999</v>
      </c>
      <c r="L47">
        <v>7.6296850205924303</v>
      </c>
      <c r="M47">
        <v>9.8195443853042992</v>
      </c>
      <c r="N47">
        <v>5.8921399933189997</v>
      </c>
      <c r="O47">
        <v>7.4505948690451502</v>
      </c>
      <c r="P47">
        <v>5.1060407125660801</v>
      </c>
      <c r="Q47">
        <v>10.6461593922732</v>
      </c>
      <c r="R47">
        <v>1.41329558155794</v>
      </c>
      <c r="S47">
        <v>1.0018888755064499</v>
      </c>
      <c r="T47">
        <v>1.7323930615523699</v>
      </c>
      <c r="U47">
        <v>-0.179090151547284</v>
      </c>
      <c r="V47">
        <v>-3.5745805521899201</v>
      </c>
      <c r="W47">
        <v>3.2164002490953498</v>
      </c>
      <c r="X47">
        <v>23</v>
      </c>
      <c r="Y47">
        <v>44</v>
      </c>
    </row>
    <row r="48" spans="1:25" x14ac:dyDescent="0.25">
      <c r="A48">
        <v>11151</v>
      </c>
      <c r="B48">
        <v>148</v>
      </c>
      <c r="C48" t="s">
        <v>75</v>
      </c>
      <c r="D48" s="11" t="s">
        <v>84</v>
      </c>
      <c r="E48" t="s">
        <v>135</v>
      </c>
      <c r="F48" t="s">
        <v>76</v>
      </c>
      <c r="G48" t="s">
        <v>78</v>
      </c>
      <c r="H48">
        <v>2.0270270270270299E-2</v>
      </c>
      <c r="I48">
        <v>4.2424949859543499</v>
      </c>
      <c r="J48">
        <v>11.8115178173191</v>
      </c>
      <c r="K48">
        <v>-3.3748557045143301</v>
      </c>
      <c r="L48">
        <v>3.3149467336773202</v>
      </c>
      <c r="M48">
        <v>4.0784790296857496</v>
      </c>
      <c r="N48">
        <v>2.7055638201151799</v>
      </c>
      <c r="O48">
        <v>3.1461108776512701</v>
      </c>
      <c r="P48">
        <v>2.1845472641136099</v>
      </c>
      <c r="Q48">
        <v>4.5423079801872204</v>
      </c>
      <c r="R48">
        <v>0.60146957042694205</v>
      </c>
      <c r="S48">
        <v>0.35023347182922498</v>
      </c>
      <c r="T48">
        <v>0.69600943164523399</v>
      </c>
      <c r="U48">
        <v>-0.168835856026052</v>
      </c>
      <c r="V48">
        <v>-1.5330143420507101</v>
      </c>
      <c r="W48">
        <v>1.1953426299986101</v>
      </c>
      <c r="X48">
        <v>1</v>
      </c>
      <c r="Y48">
        <v>45</v>
      </c>
    </row>
    <row r="49" spans="1:25" x14ac:dyDescent="0.25">
      <c r="A49">
        <v>12211</v>
      </c>
      <c r="B49">
        <v>46</v>
      </c>
      <c r="C49" t="s">
        <v>75</v>
      </c>
      <c r="D49" s="11" t="s">
        <v>85</v>
      </c>
      <c r="E49" t="s">
        <v>131</v>
      </c>
      <c r="F49" t="s">
        <v>82</v>
      </c>
      <c r="G49" t="s">
        <v>78</v>
      </c>
      <c r="H49">
        <v>8.6956521739130405E-2</v>
      </c>
      <c r="I49">
        <v>9.9414451681317093</v>
      </c>
      <c r="J49">
        <v>11.8115178173191</v>
      </c>
      <c r="K49">
        <v>-2.2788798347905699</v>
      </c>
      <c r="L49">
        <v>9.3283329777684507</v>
      </c>
      <c r="M49">
        <v>11.7173662557692</v>
      </c>
      <c r="N49">
        <v>7.2628701348690496</v>
      </c>
      <c r="O49">
        <v>9.1666891712519192</v>
      </c>
      <c r="P49">
        <v>6.16137576157917</v>
      </c>
      <c r="Q49">
        <v>13.232058580998</v>
      </c>
      <c r="R49">
        <v>1.8037456171986901</v>
      </c>
      <c r="S49">
        <v>1.1363510512500401</v>
      </c>
      <c r="T49">
        <v>2.13185176859005</v>
      </c>
      <c r="U49">
        <v>-0.16164380651652099</v>
      </c>
      <c r="V49">
        <v>-4.3400732729530196</v>
      </c>
      <c r="W49">
        <v>4.0167856599199796</v>
      </c>
      <c r="X49">
        <v>40</v>
      </c>
      <c r="Y49">
        <v>46</v>
      </c>
    </row>
    <row r="50" spans="1:25" x14ac:dyDescent="0.25">
      <c r="A50">
        <v>21231</v>
      </c>
      <c r="B50">
        <v>249</v>
      </c>
      <c r="C50" t="s">
        <v>83</v>
      </c>
      <c r="D50" s="11" t="s">
        <v>84</v>
      </c>
      <c r="E50" t="s">
        <v>133</v>
      </c>
      <c r="F50" t="s">
        <v>82</v>
      </c>
      <c r="G50" t="s">
        <v>78</v>
      </c>
      <c r="H50">
        <v>0.14457831325301199</v>
      </c>
      <c r="I50">
        <v>14.205400685411799</v>
      </c>
      <c r="J50">
        <v>11.8115178173191</v>
      </c>
      <c r="K50">
        <v>-1.7450303555654501</v>
      </c>
      <c r="L50">
        <v>14.846489377345501</v>
      </c>
      <c r="M50">
        <v>17.033872559453801</v>
      </c>
      <c r="N50">
        <v>12.9368961718375</v>
      </c>
      <c r="O50">
        <v>14.688852565731899</v>
      </c>
      <c r="P50">
        <v>11.296224852688701</v>
      </c>
      <c r="Q50">
        <v>18.5283793037067</v>
      </c>
      <c r="R50">
        <v>1.8449373599535801</v>
      </c>
      <c r="S50">
        <v>1.0451470376572101</v>
      </c>
      <c r="T50">
        <v>2.1204070817831502</v>
      </c>
      <c r="U50">
        <v>-0.157636811613663</v>
      </c>
      <c r="V50">
        <v>-4.3136346919086401</v>
      </c>
      <c r="W50">
        <v>3.99836106868131</v>
      </c>
      <c r="X50">
        <v>80</v>
      </c>
      <c r="Y50">
        <v>47</v>
      </c>
    </row>
    <row r="51" spans="1:25" x14ac:dyDescent="0.25">
      <c r="A51">
        <v>12151</v>
      </c>
      <c r="B51">
        <v>100</v>
      </c>
      <c r="C51" t="s">
        <v>75</v>
      </c>
      <c r="D51" s="11" t="s">
        <v>85</v>
      </c>
      <c r="E51" t="s">
        <v>135</v>
      </c>
      <c r="F51" t="s">
        <v>76</v>
      </c>
      <c r="G51" t="s">
        <v>78</v>
      </c>
      <c r="H51">
        <v>0.04</v>
      </c>
      <c r="I51">
        <v>6.1293617385520296</v>
      </c>
      <c r="J51">
        <v>11.8115178173191</v>
      </c>
      <c r="K51">
        <v>-2.94736943946396</v>
      </c>
      <c r="L51">
        <v>4.9893119077261598</v>
      </c>
      <c r="M51">
        <v>6.0971525738014796</v>
      </c>
      <c r="N51">
        <v>4.1498616595419699</v>
      </c>
      <c r="O51">
        <v>4.8640307418904696</v>
      </c>
      <c r="P51">
        <v>3.5719274985057301</v>
      </c>
      <c r="Q51">
        <v>6.8632018707805704</v>
      </c>
      <c r="R51">
        <v>0.83961080925378495</v>
      </c>
      <c r="S51">
        <v>0.49675788629069301</v>
      </c>
      <c r="T51">
        <v>0.97555866487248799</v>
      </c>
      <c r="U51">
        <v>-0.12528116583569299</v>
      </c>
      <c r="V51">
        <v>-2.03737614898577</v>
      </c>
      <c r="W51">
        <v>1.7868138173143799</v>
      </c>
      <c r="X51">
        <v>6</v>
      </c>
      <c r="Y51">
        <v>48</v>
      </c>
    </row>
    <row r="52" spans="1:25" x14ac:dyDescent="0.25">
      <c r="A52">
        <v>11121</v>
      </c>
      <c r="B52">
        <v>91</v>
      </c>
      <c r="C52" t="s">
        <v>75</v>
      </c>
      <c r="D52" s="11" t="s">
        <v>84</v>
      </c>
      <c r="E52" t="s">
        <v>132</v>
      </c>
      <c r="F52" t="s">
        <v>76</v>
      </c>
      <c r="G52" t="s">
        <v>78</v>
      </c>
      <c r="H52">
        <v>3.2967032967033003E-2</v>
      </c>
      <c r="I52">
        <v>5.8175300656436004</v>
      </c>
      <c r="J52">
        <v>11.8115178173191</v>
      </c>
      <c r="K52">
        <v>-3.0127587687028101</v>
      </c>
      <c r="L52">
        <v>4.6584007471656701</v>
      </c>
      <c r="M52">
        <v>5.6947027731658197</v>
      </c>
      <c r="N52">
        <v>3.8554091171532399</v>
      </c>
      <c r="O52">
        <v>4.5675526630739904</v>
      </c>
      <c r="P52">
        <v>3.2364806671751198</v>
      </c>
      <c r="Q52">
        <v>6.32453207056823</v>
      </c>
      <c r="R52">
        <v>0.78776821515130302</v>
      </c>
      <c r="S52">
        <v>0.46920756530933</v>
      </c>
      <c r="T52">
        <v>0.91691575411603599</v>
      </c>
      <c r="U52">
        <v>-9.08480840916841E-2</v>
      </c>
      <c r="V52">
        <v>-1.8880029621591099</v>
      </c>
      <c r="W52">
        <v>1.7063067939757499</v>
      </c>
      <c r="X52">
        <v>3</v>
      </c>
      <c r="Y52">
        <v>49</v>
      </c>
    </row>
    <row r="53" spans="1:25" x14ac:dyDescent="0.25">
      <c r="A53">
        <v>11122</v>
      </c>
      <c r="B53">
        <v>285</v>
      </c>
      <c r="C53" t="s">
        <v>75</v>
      </c>
      <c r="D53" s="11" t="s">
        <v>84</v>
      </c>
      <c r="E53" t="s">
        <v>132</v>
      </c>
      <c r="F53" t="s">
        <v>76</v>
      </c>
      <c r="G53" t="s">
        <v>79</v>
      </c>
      <c r="H53">
        <v>5.96491228070175E-2</v>
      </c>
      <c r="I53">
        <v>6.6255846822016302</v>
      </c>
      <c r="J53">
        <v>11.8115178173191</v>
      </c>
      <c r="K53">
        <v>-2.7074292483715898</v>
      </c>
      <c r="L53">
        <v>6.26369387511307</v>
      </c>
      <c r="M53">
        <v>7.3679466470530599</v>
      </c>
      <c r="N53">
        <v>5.2207746422940904</v>
      </c>
      <c r="O53">
        <v>6.2010044182283703</v>
      </c>
      <c r="P53">
        <v>4.5205145618448803</v>
      </c>
      <c r="Q53">
        <v>8.4263347149541303</v>
      </c>
      <c r="R53">
        <v>0.99638269211970498</v>
      </c>
      <c r="S53">
        <v>0.54774796039769602</v>
      </c>
      <c r="T53">
        <v>1.13701640149804</v>
      </c>
      <c r="U53">
        <v>-6.2689456884691602E-2</v>
      </c>
      <c r="V53">
        <v>-2.2912416038208501</v>
      </c>
      <c r="W53">
        <v>2.1658626900514601</v>
      </c>
      <c r="X53">
        <v>11</v>
      </c>
      <c r="Y53">
        <v>50</v>
      </c>
    </row>
    <row r="54" spans="1:25" x14ac:dyDescent="0.25">
      <c r="A54">
        <v>11161</v>
      </c>
      <c r="B54">
        <v>63</v>
      </c>
      <c r="C54" t="s">
        <v>75</v>
      </c>
      <c r="D54" s="11" t="s">
        <v>84</v>
      </c>
      <c r="E54" t="s">
        <v>136</v>
      </c>
      <c r="F54" t="s">
        <v>76</v>
      </c>
      <c r="G54" t="s">
        <v>78</v>
      </c>
      <c r="H54">
        <v>4.7619047619047603E-2</v>
      </c>
      <c r="I54">
        <v>7.2767186048715802</v>
      </c>
      <c r="J54">
        <v>11.8115178173191</v>
      </c>
      <c r="K54">
        <v>-2.8664906601059599</v>
      </c>
      <c r="L54">
        <v>5.3927312342639402</v>
      </c>
      <c r="M54">
        <v>6.5036398869901797</v>
      </c>
      <c r="N54">
        <v>4.3787590847765197</v>
      </c>
      <c r="O54">
        <v>5.3534863676655799</v>
      </c>
      <c r="P54">
        <v>3.7890304715466701</v>
      </c>
      <c r="Q54">
        <v>7.5025817087645796</v>
      </c>
      <c r="R54">
        <v>0.94733449929028302</v>
      </c>
      <c r="S54">
        <v>0.54206142913613597</v>
      </c>
      <c r="T54">
        <v>1.09145464702052</v>
      </c>
      <c r="U54">
        <v>-3.9244866598354002E-2</v>
      </c>
      <c r="V54">
        <v>-2.1784959747585702</v>
      </c>
      <c r="W54">
        <v>2.1000062415618599</v>
      </c>
      <c r="X54">
        <v>8</v>
      </c>
      <c r="Y54">
        <v>51</v>
      </c>
    </row>
    <row r="55" spans="1:25" x14ac:dyDescent="0.25">
      <c r="A55">
        <v>12172</v>
      </c>
      <c r="B55">
        <v>208</v>
      </c>
      <c r="C55" t="s">
        <v>75</v>
      </c>
      <c r="D55" s="11" t="s">
        <v>85</v>
      </c>
      <c r="E55" t="s">
        <v>137</v>
      </c>
      <c r="F55" t="s">
        <v>76</v>
      </c>
      <c r="G55" t="s">
        <v>79</v>
      </c>
      <c r="H55">
        <v>0.16346153846153799</v>
      </c>
      <c r="I55">
        <v>15.859291387188399</v>
      </c>
      <c r="J55">
        <v>11.8115178173191</v>
      </c>
      <c r="K55">
        <v>-1.6070266005682301</v>
      </c>
      <c r="L55">
        <v>16.669143509374901</v>
      </c>
      <c r="M55">
        <v>19.013842971025699</v>
      </c>
      <c r="N55">
        <v>14.618541488864301</v>
      </c>
      <c r="O55">
        <v>16.641378432759002</v>
      </c>
      <c r="P55">
        <v>12.859957525284001</v>
      </c>
      <c r="Q55">
        <v>21.056458126784001</v>
      </c>
      <c r="R55">
        <v>2.0909440309948901</v>
      </c>
      <c r="S55">
        <v>1.1212503781023799</v>
      </c>
      <c r="T55">
        <v>2.3726039178817602</v>
      </c>
      <c r="U55">
        <v>-2.7765076615953201E-2</v>
      </c>
      <c r="V55">
        <v>-4.6780687556642002</v>
      </c>
      <c r="W55">
        <v>4.6225386024323001</v>
      </c>
      <c r="X55">
        <v>87</v>
      </c>
      <c r="Y55">
        <v>52</v>
      </c>
    </row>
    <row r="56" spans="1:25" x14ac:dyDescent="0.25">
      <c r="A56">
        <v>11162</v>
      </c>
      <c r="B56">
        <v>246</v>
      </c>
      <c r="C56" t="s">
        <v>75</v>
      </c>
      <c r="D56" s="11" t="s">
        <v>84</v>
      </c>
      <c r="E56" t="s">
        <v>136</v>
      </c>
      <c r="F56" t="s">
        <v>76</v>
      </c>
      <c r="G56" t="s">
        <v>79</v>
      </c>
      <c r="H56">
        <v>6.9105691056910598E-2</v>
      </c>
      <c r="I56">
        <v>7.5130271866110503</v>
      </c>
      <c r="J56">
        <v>11.8115178173191</v>
      </c>
      <c r="K56">
        <v>-2.5611611397747298</v>
      </c>
      <c r="L56">
        <v>7.1633419209527203</v>
      </c>
      <c r="M56">
        <v>8.5355776406827104</v>
      </c>
      <c r="N56">
        <v>6.0270156783011597</v>
      </c>
      <c r="O56">
        <v>7.1381612462113502</v>
      </c>
      <c r="P56">
        <v>5.3300454662957204</v>
      </c>
      <c r="Q56">
        <v>9.5045852733505196</v>
      </c>
      <c r="R56">
        <v>1.06493362424867</v>
      </c>
      <c r="S56">
        <v>0.63993927611774104</v>
      </c>
      <c r="T56">
        <v>1.24241937411388</v>
      </c>
      <c r="U56">
        <v>-2.51806747413665E-2</v>
      </c>
      <c r="V56">
        <v>-2.4603226480045599</v>
      </c>
      <c r="W56">
        <v>2.4099612985218299</v>
      </c>
      <c r="X56">
        <v>22</v>
      </c>
      <c r="Y56">
        <v>53</v>
      </c>
    </row>
    <row r="57" spans="1:25" x14ac:dyDescent="0.25">
      <c r="A57">
        <v>12252</v>
      </c>
      <c r="B57">
        <v>262</v>
      </c>
      <c r="C57" t="s">
        <v>75</v>
      </c>
      <c r="D57" s="11" t="s">
        <v>85</v>
      </c>
      <c r="E57" t="s">
        <v>135</v>
      </c>
      <c r="F57" t="s">
        <v>82</v>
      </c>
      <c r="G57" t="s">
        <v>79</v>
      </c>
      <c r="H57">
        <v>0.103053435114504</v>
      </c>
      <c r="I57">
        <v>10.4600153997932</v>
      </c>
      <c r="J57">
        <v>11.8115178173191</v>
      </c>
      <c r="K57">
        <v>-2.1986956498325201</v>
      </c>
      <c r="L57">
        <v>10.0595736507038</v>
      </c>
      <c r="M57">
        <v>11.813599398293899</v>
      </c>
      <c r="N57">
        <v>8.4621739474466704</v>
      </c>
      <c r="O57">
        <v>10.0470417542876</v>
      </c>
      <c r="P57">
        <v>7.6750177860755997</v>
      </c>
      <c r="Q57">
        <v>13.235524906287001</v>
      </c>
      <c r="R57">
        <v>1.4184967143396401</v>
      </c>
      <c r="S57">
        <v>0.85495547215491496</v>
      </c>
      <c r="T57">
        <v>1.6562251622167801</v>
      </c>
      <c r="U57">
        <v>-1.25318964162044E-2</v>
      </c>
      <c r="V57">
        <v>-3.2587332143610901</v>
      </c>
      <c r="W57">
        <v>3.2336694215286799</v>
      </c>
      <c r="X57">
        <v>45</v>
      </c>
      <c r="Y57">
        <v>54</v>
      </c>
    </row>
    <row r="58" spans="1:25" x14ac:dyDescent="0.25">
      <c r="A58">
        <v>21171</v>
      </c>
      <c r="B58">
        <v>160</v>
      </c>
      <c r="C58" t="s">
        <v>83</v>
      </c>
      <c r="D58" s="11" t="s">
        <v>84</v>
      </c>
      <c r="E58" t="s">
        <v>137</v>
      </c>
      <c r="F58" t="s">
        <v>76</v>
      </c>
      <c r="G58" t="s">
        <v>78</v>
      </c>
      <c r="H58">
        <v>0.15625</v>
      </c>
      <c r="I58">
        <v>15.0996534602453</v>
      </c>
      <c r="J58">
        <v>11.8115178173191</v>
      </c>
      <c r="K58">
        <v>-1.6804465880225701</v>
      </c>
      <c r="L58">
        <v>15.6650022495333</v>
      </c>
      <c r="M58">
        <v>18.117623766139001</v>
      </c>
      <c r="N58">
        <v>13.587739370585799</v>
      </c>
      <c r="O58">
        <v>15.669856095063899</v>
      </c>
      <c r="P58">
        <v>11.9080978364704</v>
      </c>
      <c r="Q58">
        <v>20.2913603122091</v>
      </c>
      <c r="R58">
        <v>2.1385873662598698</v>
      </c>
      <c r="S58">
        <v>1.15558275396765</v>
      </c>
      <c r="T58">
        <v>2.4308285468937898</v>
      </c>
      <c r="U58">
        <v>4.85384553057244E-3</v>
      </c>
      <c r="V58">
        <v>-4.7595701063812603</v>
      </c>
      <c r="W58">
        <v>4.7692777974423999</v>
      </c>
      <c r="X58">
        <v>82</v>
      </c>
      <c r="Y58">
        <v>55</v>
      </c>
    </row>
    <row r="59" spans="1:25" x14ac:dyDescent="0.25">
      <c r="A59">
        <v>21112</v>
      </c>
      <c r="B59">
        <v>72</v>
      </c>
      <c r="C59" t="s">
        <v>83</v>
      </c>
      <c r="D59" s="11" t="s">
        <v>84</v>
      </c>
      <c r="E59" t="s">
        <v>131</v>
      </c>
      <c r="F59" t="s">
        <v>76</v>
      </c>
      <c r="G59" t="s">
        <v>79</v>
      </c>
      <c r="H59">
        <v>9.7222222222222196E-2</v>
      </c>
      <c r="I59">
        <v>10.3386672464407</v>
      </c>
      <c r="J59">
        <v>11.8115178173191</v>
      </c>
      <c r="K59">
        <v>-2.18498505088268</v>
      </c>
      <c r="L59">
        <v>10.083279030961201</v>
      </c>
      <c r="M59">
        <v>12.7199794675007</v>
      </c>
      <c r="N59">
        <v>7.9937851605257997</v>
      </c>
      <c r="O59">
        <v>10.105007039949699</v>
      </c>
      <c r="P59">
        <v>7.2123078993756202</v>
      </c>
      <c r="Q59">
        <v>14.3055254299036</v>
      </c>
      <c r="R59">
        <v>1.80949426799183</v>
      </c>
      <c r="S59">
        <v>1.2056618130037999</v>
      </c>
      <c r="T59">
        <v>2.1743711535133299</v>
      </c>
      <c r="U59">
        <v>2.1728008988477002E-2</v>
      </c>
      <c r="V59">
        <v>-4.2400394518976396</v>
      </c>
      <c r="W59">
        <v>4.2834954698745999</v>
      </c>
      <c r="X59">
        <v>46</v>
      </c>
      <c r="Y59">
        <v>56</v>
      </c>
    </row>
    <row r="60" spans="1:25" x14ac:dyDescent="0.25">
      <c r="A60">
        <v>11262</v>
      </c>
      <c r="B60">
        <v>259</v>
      </c>
      <c r="C60" t="s">
        <v>75</v>
      </c>
      <c r="D60" s="11" t="s">
        <v>84</v>
      </c>
      <c r="E60" t="s">
        <v>136</v>
      </c>
      <c r="F60" t="s">
        <v>82</v>
      </c>
      <c r="G60" t="s">
        <v>79</v>
      </c>
      <c r="H60">
        <v>0.108108108108108</v>
      </c>
      <c r="I60">
        <v>10.912959444919901</v>
      </c>
      <c r="J60">
        <v>11.8115178173191</v>
      </c>
      <c r="K60">
        <v>-2.1178168704745199</v>
      </c>
      <c r="L60">
        <v>10.756778238925801</v>
      </c>
      <c r="M60">
        <v>12.6545019027104</v>
      </c>
      <c r="N60">
        <v>9.2126316706913602</v>
      </c>
      <c r="O60">
        <v>10.790589754434301</v>
      </c>
      <c r="P60">
        <v>8.0578425229621402</v>
      </c>
      <c r="Q60">
        <v>14.3272425313439</v>
      </c>
      <c r="R60">
        <v>1.5993367368320801</v>
      </c>
      <c r="S60">
        <v>0.87802812041300904</v>
      </c>
      <c r="T60">
        <v>1.8245030496046599</v>
      </c>
      <c r="U60">
        <v>3.3811515508491E-2</v>
      </c>
      <c r="V60">
        <v>-3.54221446171664</v>
      </c>
      <c r="W60">
        <v>3.6098374927336199</v>
      </c>
      <c r="X60">
        <v>51</v>
      </c>
      <c r="Y60">
        <v>57</v>
      </c>
    </row>
    <row r="61" spans="1:25" x14ac:dyDescent="0.25">
      <c r="A61">
        <v>21121</v>
      </c>
      <c r="B61">
        <v>69</v>
      </c>
      <c r="C61" t="s">
        <v>83</v>
      </c>
      <c r="D61" s="11" t="s">
        <v>84</v>
      </c>
      <c r="E61" t="s">
        <v>132</v>
      </c>
      <c r="F61" t="s">
        <v>76</v>
      </c>
      <c r="G61" t="s">
        <v>78</v>
      </c>
      <c r="H61">
        <v>8.6956521739130405E-2</v>
      </c>
      <c r="I61">
        <v>9.6619748337947495</v>
      </c>
      <c r="J61">
        <v>11.8115178173191</v>
      </c>
      <c r="K61">
        <v>-2.3533629707755499</v>
      </c>
      <c r="L61">
        <v>8.6355084178950001</v>
      </c>
      <c r="M61">
        <v>10.3202229668683</v>
      </c>
      <c r="N61">
        <v>7.2465321094468003</v>
      </c>
      <c r="O61">
        <v>8.6825077257240295</v>
      </c>
      <c r="P61">
        <v>6.2971687069528297</v>
      </c>
      <c r="Q61">
        <v>11.7786170125064</v>
      </c>
      <c r="R61">
        <v>1.3983286493759199</v>
      </c>
      <c r="S61">
        <v>0.784104810566703</v>
      </c>
      <c r="T61">
        <v>1.6031666680726999</v>
      </c>
      <c r="U61">
        <v>4.6999307829031202E-2</v>
      </c>
      <c r="V61">
        <v>-3.0952073615934599</v>
      </c>
      <c r="W61">
        <v>3.18920597725152</v>
      </c>
      <c r="X61">
        <v>35</v>
      </c>
      <c r="Y61">
        <v>58</v>
      </c>
    </row>
    <row r="62" spans="1:25" x14ac:dyDescent="0.25">
      <c r="A62">
        <v>21152</v>
      </c>
      <c r="B62">
        <v>280</v>
      </c>
      <c r="C62" t="s">
        <v>83</v>
      </c>
      <c r="D62" s="11" t="s">
        <v>84</v>
      </c>
      <c r="E62" t="s">
        <v>135</v>
      </c>
      <c r="F62" t="s">
        <v>76</v>
      </c>
      <c r="G62" t="s">
        <v>79</v>
      </c>
      <c r="H62">
        <v>8.2142857142857101E-2</v>
      </c>
      <c r="I62">
        <v>8.5894593751200592</v>
      </c>
      <c r="J62">
        <v>11.8115178173191</v>
      </c>
      <c r="K62">
        <v>-2.4101303862558501</v>
      </c>
      <c r="L62">
        <v>8.2070285075358598</v>
      </c>
      <c r="M62">
        <v>9.7515567828462704</v>
      </c>
      <c r="N62">
        <v>6.9996905597223904</v>
      </c>
      <c r="O62">
        <v>8.2696153180117307</v>
      </c>
      <c r="P62">
        <v>6.2441539040039498</v>
      </c>
      <c r="Q62">
        <v>11.0415290274246</v>
      </c>
      <c r="R62">
        <v>1.2238201845460801</v>
      </c>
      <c r="S62">
        <v>0.70200668957241696</v>
      </c>
      <c r="T62">
        <v>1.4108682561836901</v>
      </c>
      <c r="U62">
        <v>6.2586810475874402E-2</v>
      </c>
      <c r="V62">
        <v>-2.7027149716441601</v>
      </c>
      <c r="W62">
        <v>2.8278885925959099</v>
      </c>
      <c r="X62">
        <v>31</v>
      </c>
      <c r="Y62">
        <v>59</v>
      </c>
    </row>
    <row r="63" spans="1:25" x14ac:dyDescent="0.25">
      <c r="A63">
        <v>12122</v>
      </c>
      <c r="B63">
        <v>234</v>
      </c>
      <c r="C63" t="s">
        <v>75</v>
      </c>
      <c r="D63" s="11" t="s">
        <v>85</v>
      </c>
      <c r="E63" t="s">
        <v>132</v>
      </c>
      <c r="F63" t="s">
        <v>76</v>
      </c>
      <c r="G63" t="s">
        <v>79</v>
      </c>
      <c r="H63">
        <v>9.4017094017094002E-2</v>
      </c>
      <c r="I63">
        <v>9.6835263412151598</v>
      </c>
      <c r="J63">
        <v>11.8115178173191</v>
      </c>
      <c r="K63">
        <v>-2.2799429833212099</v>
      </c>
      <c r="L63">
        <v>9.2616774884477095</v>
      </c>
      <c r="M63">
        <v>10.834588403945499</v>
      </c>
      <c r="N63">
        <v>7.7891838111721299</v>
      </c>
      <c r="O63">
        <v>9.3294993574981309</v>
      </c>
      <c r="P63">
        <v>7.1495047935172602</v>
      </c>
      <c r="Q63">
        <v>12.366957376302199</v>
      </c>
      <c r="R63">
        <v>1.33098280173085</v>
      </c>
      <c r="S63">
        <v>0.77688892672790599</v>
      </c>
      <c r="T63">
        <v>1.54112673812887</v>
      </c>
      <c r="U63">
        <v>6.7821869050423103E-2</v>
      </c>
      <c r="V63">
        <v>-2.95278653768217</v>
      </c>
      <c r="W63">
        <v>3.0884302757830202</v>
      </c>
      <c r="X63">
        <v>42</v>
      </c>
      <c r="Y63">
        <v>60</v>
      </c>
    </row>
    <row r="64" spans="1:25" x14ac:dyDescent="0.25">
      <c r="A64">
        <v>22261</v>
      </c>
      <c r="B64">
        <v>82</v>
      </c>
      <c r="C64" t="s">
        <v>83</v>
      </c>
      <c r="D64" s="11" t="s">
        <v>85</v>
      </c>
      <c r="E64" t="s">
        <v>136</v>
      </c>
      <c r="F64" t="s">
        <v>82</v>
      </c>
      <c r="G64" t="s">
        <v>78</v>
      </c>
      <c r="H64">
        <v>0.219512195121951</v>
      </c>
      <c r="I64">
        <v>19.751711155763498</v>
      </c>
      <c r="J64">
        <v>11.8115178173191</v>
      </c>
      <c r="K64">
        <v>-1.3362643278280999</v>
      </c>
      <c r="L64">
        <v>20.857453615924801</v>
      </c>
      <c r="M64">
        <v>24.1484373405785</v>
      </c>
      <c r="N64">
        <v>17.8157377560538</v>
      </c>
      <c r="O64">
        <v>20.9395421655178</v>
      </c>
      <c r="P64">
        <v>16.176311453711701</v>
      </c>
      <c r="Q64">
        <v>26.981850741008799</v>
      </c>
      <c r="R64">
        <v>2.7565151243104902</v>
      </c>
      <c r="S64">
        <v>1.6154845878889601</v>
      </c>
      <c r="T64">
        <v>3.1950220788375199</v>
      </c>
      <c r="U64">
        <v>8.2088549592995705E-2</v>
      </c>
      <c r="V64">
        <v>-6.18015472492855</v>
      </c>
      <c r="W64">
        <v>6.3443318241145397</v>
      </c>
      <c r="X64">
        <v>101</v>
      </c>
      <c r="Y64">
        <v>61</v>
      </c>
    </row>
    <row r="65" spans="1:25" x14ac:dyDescent="0.25">
      <c r="A65">
        <v>22141</v>
      </c>
      <c r="B65">
        <v>54</v>
      </c>
      <c r="C65" t="s">
        <v>83</v>
      </c>
      <c r="D65" s="11" t="s">
        <v>85</v>
      </c>
      <c r="E65" t="s">
        <v>134</v>
      </c>
      <c r="F65" t="s">
        <v>76</v>
      </c>
      <c r="G65" t="s">
        <v>78</v>
      </c>
      <c r="H65">
        <v>0.12962962962963001</v>
      </c>
      <c r="I65">
        <v>12.572629917931099</v>
      </c>
      <c r="J65">
        <v>11.8115178173191</v>
      </c>
      <c r="K65">
        <v>-1.9379197741433301</v>
      </c>
      <c r="L65">
        <v>12.6082768708775</v>
      </c>
      <c r="M65">
        <v>15.1865932260142</v>
      </c>
      <c r="N65">
        <v>10.4039862217052</v>
      </c>
      <c r="O65">
        <v>12.6936465657238</v>
      </c>
      <c r="P65">
        <v>9.0872156646828497</v>
      </c>
      <c r="Q65">
        <v>16.911132566571499</v>
      </c>
      <c r="R65">
        <v>1.99589716884916</v>
      </c>
      <c r="S65">
        <v>1.2200528072216601</v>
      </c>
      <c r="T65">
        <v>2.3392593616419601</v>
      </c>
      <c r="U65">
        <v>8.5369694846217897E-2</v>
      </c>
      <c r="V65">
        <v>-4.4995786539720202</v>
      </c>
      <c r="W65">
        <v>4.6703180436644596</v>
      </c>
      <c r="X65">
        <v>63</v>
      </c>
      <c r="Y65">
        <v>62</v>
      </c>
    </row>
    <row r="66" spans="1:25" x14ac:dyDescent="0.25">
      <c r="A66">
        <v>12142</v>
      </c>
      <c r="B66">
        <v>100</v>
      </c>
      <c r="C66" t="s">
        <v>75</v>
      </c>
      <c r="D66" s="11" t="s">
        <v>85</v>
      </c>
      <c r="E66" t="s">
        <v>134</v>
      </c>
      <c r="F66" t="s">
        <v>76</v>
      </c>
      <c r="G66" t="s">
        <v>79</v>
      </c>
      <c r="H66">
        <v>0.1</v>
      </c>
      <c r="I66">
        <v>10.4184251505338</v>
      </c>
      <c r="J66">
        <v>11.8115178173191</v>
      </c>
      <c r="K66">
        <v>-2.2919860517393702</v>
      </c>
      <c r="L66">
        <v>9.1983179651848594</v>
      </c>
      <c r="M66">
        <v>11.124947226779501</v>
      </c>
      <c r="N66">
        <v>7.5102352543193502</v>
      </c>
      <c r="O66">
        <v>9.2876738619661303</v>
      </c>
      <c r="P66">
        <v>6.7473107092070901</v>
      </c>
      <c r="Q66">
        <v>12.926740957775801</v>
      </c>
      <c r="R66">
        <v>1.57638526749201</v>
      </c>
      <c r="S66">
        <v>0.92212040113780602</v>
      </c>
      <c r="T66">
        <v>1.82627942707582</v>
      </c>
      <c r="U66">
        <v>8.9355896781270899E-2</v>
      </c>
      <c r="V66">
        <v>-3.4901517802873401</v>
      </c>
      <c r="W66">
        <v>3.66886357384988</v>
      </c>
      <c r="X66">
        <v>41</v>
      </c>
      <c r="Y66">
        <v>63</v>
      </c>
    </row>
    <row r="67" spans="1:25" x14ac:dyDescent="0.25">
      <c r="A67">
        <v>11111</v>
      </c>
      <c r="B67">
        <v>26</v>
      </c>
      <c r="C67" t="s">
        <v>75</v>
      </c>
      <c r="D67" s="11" t="s">
        <v>84</v>
      </c>
      <c r="E67" t="s">
        <v>131</v>
      </c>
      <c r="F67" t="s">
        <v>76</v>
      </c>
      <c r="G67" t="s">
        <v>78</v>
      </c>
      <c r="H67">
        <v>7.69230769230769E-2</v>
      </c>
      <c r="I67">
        <v>9.9216411621946197</v>
      </c>
      <c r="J67">
        <v>11.8115178173191</v>
      </c>
      <c r="K67">
        <v>-3.1497103691411601</v>
      </c>
      <c r="L67">
        <v>4.1135011683161498</v>
      </c>
      <c r="M67">
        <v>5.3465289221961996</v>
      </c>
      <c r="N67">
        <v>3.1177132987359299</v>
      </c>
      <c r="O67">
        <v>4.2086423207686696</v>
      </c>
      <c r="P67">
        <v>2.8742565901186499</v>
      </c>
      <c r="Q67">
        <v>6.2912746561755801</v>
      </c>
      <c r="R67">
        <v>0.87168828215737904</v>
      </c>
      <c r="S67">
        <v>0.56857541414803003</v>
      </c>
      <c r="T67">
        <v>1.04072977416046</v>
      </c>
      <c r="U67">
        <v>9.5141152452517197E-2</v>
      </c>
      <c r="V67">
        <v>-1.9446892049019899</v>
      </c>
      <c r="W67">
        <v>2.1349715098070199</v>
      </c>
      <c r="X67">
        <v>2</v>
      </c>
      <c r="Y67">
        <v>64</v>
      </c>
    </row>
    <row r="68" spans="1:25" x14ac:dyDescent="0.25">
      <c r="A68">
        <v>12141</v>
      </c>
      <c r="B68">
        <v>78</v>
      </c>
      <c r="C68" t="s">
        <v>75</v>
      </c>
      <c r="D68" s="11" t="s">
        <v>85</v>
      </c>
      <c r="E68" t="s">
        <v>134</v>
      </c>
      <c r="F68" t="s">
        <v>76</v>
      </c>
      <c r="G68" t="s">
        <v>78</v>
      </c>
      <c r="H68">
        <v>7.69230769230769E-2</v>
      </c>
      <c r="I68">
        <v>8.8940076518192406</v>
      </c>
      <c r="J68">
        <v>11.8115178173191</v>
      </c>
      <c r="K68">
        <v>-2.5973155720705901</v>
      </c>
      <c r="L68">
        <v>6.9448720001258097</v>
      </c>
      <c r="M68">
        <v>8.56378060975889</v>
      </c>
      <c r="N68">
        <v>5.6599620421017303</v>
      </c>
      <c r="O68">
        <v>7.0540553208253298</v>
      </c>
      <c r="P68">
        <v>5.0033003824383702</v>
      </c>
      <c r="Q68">
        <v>9.9452504114155893</v>
      </c>
      <c r="R68">
        <v>1.26070153800439</v>
      </c>
      <c r="S68">
        <v>0.74077004276968395</v>
      </c>
      <c r="T68">
        <v>1.46222728198856</v>
      </c>
      <c r="U68">
        <v>0.10918332069952499</v>
      </c>
      <c r="V68">
        <v>-2.75678215199805</v>
      </c>
      <c r="W68">
        <v>2.9751487933970999</v>
      </c>
      <c r="X68">
        <v>21</v>
      </c>
      <c r="Y68">
        <v>65</v>
      </c>
    </row>
    <row r="69" spans="1:25" x14ac:dyDescent="0.25">
      <c r="A69">
        <v>22251</v>
      </c>
      <c r="B69">
        <v>134</v>
      </c>
      <c r="C69" t="s">
        <v>83</v>
      </c>
      <c r="D69" s="11" t="s">
        <v>85</v>
      </c>
      <c r="E69" t="s">
        <v>135</v>
      </c>
      <c r="F69" t="s">
        <v>82</v>
      </c>
      <c r="G69" t="s">
        <v>78</v>
      </c>
      <c r="H69">
        <v>0.14179104477611901</v>
      </c>
      <c r="I69">
        <v>13.786935095977899</v>
      </c>
      <c r="J69">
        <v>11.8115178173191</v>
      </c>
      <c r="K69">
        <v>-1.8446293722364799</v>
      </c>
      <c r="L69">
        <v>13.728760693780799</v>
      </c>
      <c r="M69">
        <v>16.103076324588901</v>
      </c>
      <c r="N69">
        <v>11.5170158890734</v>
      </c>
      <c r="O69">
        <v>13.845132479219</v>
      </c>
      <c r="P69">
        <v>10.426104414365801</v>
      </c>
      <c r="Q69">
        <v>18.376298988869699</v>
      </c>
      <c r="R69">
        <v>2.0281108608428098</v>
      </c>
      <c r="S69">
        <v>1.16991337640701</v>
      </c>
      <c r="T69">
        <v>2.34135238103209</v>
      </c>
      <c r="U69">
        <v>0.116371785438229</v>
      </c>
      <c r="V69">
        <v>-4.4726788813846596</v>
      </c>
      <c r="W69">
        <v>4.7054224522611197</v>
      </c>
      <c r="X69">
        <v>73</v>
      </c>
      <c r="Y69">
        <v>66</v>
      </c>
    </row>
    <row r="70" spans="1:25" x14ac:dyDescent="0.25">
      <c r="A70">
        <v>11251</v>
      </c>
      <c r="B70">
        <v>184</v>
      </c>
      <c r="C70" t="s">
        <v>75</v>
      </c>
      <c r="D70" s="11" t="s">
        <v>84</v>
      </c>
      <c r="E70" t="s">
        <v>135</v>
      </c>
      <c r="F70" t="s">
        <v>82</v>
      </c>
      <c r="G70" t="s">
        <v>78</v>
      </c>
      <c r="H70">
        <v>5.9782608695652197E-2</v>
      </c>
      <c r="I70">
        <v>6.92517089155404</v>
      </c>
      <c r="J70">
        <v>11.8115178173191</v>
      </c>
      <c r="K70">
        <v>-2.9315114352141101</v>
      </c>
      <c r="L70">
        <v>5.1111936336236301</v>
      </c>
      <c r="M70">
        <v>6.0859101238902698</v>
      </c>
      <c r="N70">
        <v>4.2082750493277299</v>
      </c>
      <c r="O70">
        <v>5.2301612592222799</v>
      </c>
      <c r="P70">
        <v>3.7721330423568502</v>
      </c>
      <c r="Q70">
        <v>7.1820241700179501</v>
      </c>
      <c r="R70">
        <v>0.86987018562783003</v>
      </c>
      <c r="S70">
        <v>0.47898853942921898</v>
      </c>
      <c r="T70">
        <v>0.99302777440952394</v>
      </c>
      <c r="U70">
        <v>0.118967625598649</v>
      </c>
      <c r="V70">
        <v>-1.8273668122440201</v>
      </c>
      <c r="W70">
        <v>2.0653020634413202</v>
      </c>
      <c r="X70">
        <v>7</v>
      </c>
      <c r="Y70">
        <v>67</v>
      </c>
    </row>
    <row r="71" spans="1:25" x14ac:dyDescent="0.25">
      <c r="A71">
        <v>12152</v>
      </c>
      <c r="B71">
        <v>244</v>
      </c>
      <c r="C71" t="s">
        <v>75</v>
      </c>
      <c r="D71" s="11" t="s">
        <v>85</v>
      </c>
      <c r="E71" t="s">
        <v>135</v>
      </c>
      <c r="F71" t="s">
        <v>76</v>
      </c>
      <c r="G71" t="s">
        <v>79</v>
      </c>
      <c r="H71">
        <v>7.3770491803278701E-2</v>
      </c>
      <c r="I71">
        <v>7.9157213027675004</v>
      </c>
      <c r="J71">
        <v>11.8115178173191</v>
      </c>
      <c r="K71">
        <v>-2.64203991913273</v>
      </c>
      <c r="L71">
        <v>6.6672531730561397</v>
      </c>
      <c r="M71">
        <v>7.8715783180461303</v>
      </c>
      <c r="N71">
        <v>5.56098546165253</v>
      </c>
      <c r="O71">
        <v>6.7940569682824998</v>
      </c>
      <c r="P71">
        <v>4.9577844720745796</v>
      </c>
      <c r="Q71">
        <v>9.4937448421962003</v>
      </c>
      <c r="R71">
        <v>1.1571327474799999</v>
      </c>
      <c r="S71">
        <v>0.58943695316163303</v>
      </c>
      <c r="T71">
        <v>1.2986116113153701</v>
      </c>
      <c r="U71">
        <v>0.12680379522635801</v>
      </c>
      <c r="V71">
        <v>-2.4184749629517599</v>
      </c>
      <c r="W71">
        <v>2.6720825534044801</v>
      </c>
      <c r="X71">
        <v>18</v>
      </c>
      <c r="Y71">
        <v>68</v>
      </c>
    </row>
    <row r="72" spans="1:25" x14ac:dyDescent="0.25">
      <c r="A72">
        <v>11152</v>
      </c>
      <c r="B72">
        <v>286</v>
      </c>
      <c r="C72" t="s">
        <v>75</v>
      </c>
      <c r="D72" s="11" t="s">
        <v>84</v>
      </c>
      <c r="E72" t="s">
        <v>135</v>
      </c>
      <c r="F72" t="s">
        <v>76</v>
      </c>
      <c r="G72" t="s">
        <v>79</v>
      </c>
      <c r="H72">
        <v>4.8951048951049E-2</v>
      </c>
      <c r="I72">
        <v>5.7164604910196504</v>
      </c>
      <c r="J72">
        <v>11.8115178173191</v>
      </c>
      <c r="K72">
        <v>-3.0695261841831099</v>
      </c>
      <c r="L72">
        <v>4.4451532005074998</v>
      </c>
      <c r="M72">
        <v>5.3072609097476899</v>
      </c>
      <c r="N72">
        <v>3.6981908010165898</v>
      </c>
      <c r="O72">
        <v>4.6084553181759498</v>
      </c>
      <c r="P72">
        <v>3.3048187848439099</v>
      </c>
      <c r="Q72">
        <v>6.3427410272875102</v>
      </c>
      <c r="R72">
        <v>0.77498016388867297</v>
      </c>
      <c r="S72">
        <v>0.41047706855385302</v>
      </c>
      <c r="T72">
        <v>0.87697530080925301</v>
      </c>
      <c r="U72">
        <v>0.16330211766845601</v>
      </c>
      <c r="V72">
        <v>-1.55556947191768</v>
      </c>
      <c r="W72">
        <v>1.8821737072545901</v>
      </c>
      <c r="X72">
        <v>4</v>
      </c>
      <c r="Y72">
        <v>69</v>
      </c>
    </row>
    <row r="73" spans="1:25" x14ac:dyDescent="0.25">
      <c r="A73">
        <v>21211</v>
      </c>
      <c r="B73">
        <v>48</v>
      </c>
      <c r="C73" t="s">
        <v>83</v>
      </c>
      <c r="D73" s="11" t="s">
        <v>84</v>
      </c>
      <c r="E73" t="s">
        <v>131</v>
      </c>
      <c r="F73" t="s">
        <v>82</v>
      </c>
      <c r="G73" t="s">
        <v>78</v>
      </c>
      <c r="H73">
        <v>0.125</v>
      </c>
      <c r="I73">
        <v>12.246280316821499</v>
      </c>
      <c r="J73">
        <v>11.8115178173191</v>
      </c>
      <c r="K73">
        <v>-2.04697030191369</v>
      </c>
      <c r="L73">
        <v>11.416961408585699</v>
      </c>
      <c r="M73">
        <v>14.214095532304301</v>
      </c>
      <c r="N73">
        <v>9.0455957337901705</v>
      </c>
      <c r="O73">
        <v>11.589230212145001</v>
      </c>
      <c r="P73">
        <v>8.1562572888760396</v>
      </c>
      <c r="Q73">
        <v>16.090028055258699</v>
      </c>
      <c r="R73">
        <v>2.0239211138731199</v>
      </c>
      <c r="S73">
        <v>1.3184948465597299</v>
      </c>
      <c r="T73">
        <v>2.41550933253962</v>
      </c>
      <c r="U73">
        <v>0.172268803559357</v>
      </c>
      <c r="V73">
        <v>-4.5621294882183001</v>
      </c>
      <c r="W73">
        <v>4.90666709533701</v>
      </c>
      <c r="X73">
        <v>55</v>
      </c>
      <c r="Y73">
        <v>70</v>
      </c>
    </row>
    <row r="74" spans="1:25" x14ac:dyDescent="0.25">
      <c r="A74">
        <v>12111</v>
      </c>
      <c r="B74">
        <v>17</v>
      </c>
      <c r="C74" t="s">
        <v>75</v>
      </c>
      <c r="D74" s="11" t="s">
        <v>85</v>
      </c>
      <c r="E74" t="s">
        <v>131</v>
      </c>
      <c r="F74" t="s">
        <v>76</v>
      </c>
      <c r="G74" t="s">
        <v>78</v>
      </c>
      <c r="H74">
        <v>0.11764705882352899</v>
      </c>
      <c r="I74">
        <v>11.794017148197099</v>
      </c>
      <c r="J74">
        <v>11.8115178173191</v>
      </c>
      <c r="K74">
        <v>-2.72222410409079</v>
      </c>
      <c r="L74">
        <v>6.1510819049652197</v>
      </c>
      <c r="M74">
        <v>7.94824844942986</v>
      </c>
      <c r="N74">
        <v>4.7132356109748201</v>
      </c>
      <c r="O74">
        <v>6.3275560903010204</v>
      </c>
      <c r="P74">
        <v>4.3141325467882696</v>
      </c>
      <c r="Q74">
        <v>9.3459153610537804</v>
      </c>
      <c r="R74">
        <v>1.2836180648636499</v>
      </c>
      <c r="S74">
        <v>0.82525837715689998</v>
      </c>
      <c r="T74">
        <v>1.52601662032625</v>
      </c>
      <c r="U74">
        <v>0.17647418533579201</v>
      </c>
      <c r="V74">
        <v>-2.8145183905036499</v>
      </c>
      <c r="W74">
        <v>3.1674667611752398</v>
      </c>
      <c r="X74">
        <v>12</v>
      </c>
      <c r="Y74">
        <v>71</v>
      </c>
    </row>
    <row r="75" spans="1:25" x14ac:dyDescent="0.25">
      <c r="A75">
        <v>21261</v>
      </c>
      <c r="B75">
        <v>104</v>
      </c>
      <c r="C75" t="s">
        <v>83</v>
      </c>
      <c r="D75" s="11" t="s">
        <v>84</v>
      </c>
      <c r="E75" t="s">
        <v>136</v>
      </c>
      <c r="F75" t="s">
        <v>82</v>
      </c>
      <c r="G75" t="s">
        <v>78</v>
      </c>
      <c r="H75">
        <v>0.15384615384615399</v>
      </c>
      <c r="I75">
        <v>14.672480876589701</v>
      </c>
      <c r="J75">
        <v>11.8115178173191</v>
      </c>
      <c r="K75">
        <v>-1.76375059287848</v>
      </c>
      <c r="L75">
        <v>14.6384794468695</v>
      </c>
      <c r="M75">
        <v>17.182031980037198</v>
      </c>
      <c r="N75">
        <v>12.3118782059564</v>
      </c>
      <c r="O75">
        <v>14.8239065130666</v>
      </c>
      <c r="P75">
        <v>11.0259093338583</v>
      </c>
      <c r="Q75">
        <v>19.760095351863601</v>
      </c>
      <c r="R75">
        <v>2.2281086780625801</v>
      </c>
      <c r="S75">
        <v>1.2423861668573499</v>
      </c>
      <c r="T75">
        <v>2.55107657055924</v>
      </c>
      <c r="U75">
        <v>0.18542706619718899</v>
      </c>
      <c r="V75">
        <v>-4.8146830120989197</v>
      </c>
      <c r="W75">
        <v>5.1855371444932903</v>
      </c>
      <c r="X75">
        <v>81</v>
      </c>
      <c r="Y75">
        <v>72</v>
      </c>
    </row>
    <row r="76" spans="1:25" x14ac:dyDescent="0.25">
      <c r="A76">
        <v>11141</v>
      </c>
      <c r="B76">
        <v>87</v>
      </c>
      <c r="C76" t="s">
        <v>75</v>
      </c>
      <c r="D76" s="11" t="s">
        <v>84</v>
      </c>
      <c r="E76" t="s">
        <v>134</v>
      </c>
      <c r="F76" t="s">
        <v>76</v>
      </c>
      <c r="G76" t="s">
        <v>78</v>
      </c>
      <c r="H76">
        <v>6.8965517241379296E-2</v>
      </c>
      <c r="I76">
        <v>8.2527632424509605</v>
      </c>
      <c r="J76">
        <v>11.8115178173191</v>
      </c>
      <c r="K76">
        <v>-3.0248018371209602</v>
      </c>
      <c r="L76">
        <v>4.6481331298165198</v>
      </c>
      <c r="M76">
        <v>5.7806598852810698</v>
      </c>
      <c r="N76">
        <v>3.72376620821399</v>
      </c>
      <c r="O76">
        <v>4.8451611280532196</v>
      </c>
      <c r="P76">
        <v>3.4114416221878199</v>
      </c>
      <c r="Q76">
        <v>6.9105659404052799</v>
      </c>
      <c r="R76">
        <v>0.89263375464731198</v>
      </c>
      <c r="S76">
        <v>0.52471777476200998</v>
      </c>
      <c r="T76">
        <v>1.0354340940334901</v>
      </c>
      <c r="U76">
        <v>0.197027998236703</v>
      </c>
      <c r="V76">
        <v>-1.8324228260689399</v>
      </c>
      <c r="W76">
        <v>2.2264788225423402</v>
      </c>
      <c r="X76">
        <v>5</v>
      </c>
      <c r="Y76">
        <v>73</v>
      </c>
    </row>
    <row r="77" spans="1:25" x14ac:dyDescent="0.25">
      <c r="A77">
        <v>11212</v>
      </c>
      <c r="B77">
        <v>104</v>
      </c>
      <c r="C77" t="s">
        <v>75</v>
      </c>
      <c r="D77" s="11" t="s">
        <v>84</v>
      </c>
      <c r="E77" t="s">
        <v>131</v>
      </c>
      <c r="F77" t="s">
        <v>82</v>
      </c>
      <c r="G77" t="s">
        <v>79</v>
      </c>
      <c r="H77">
        <v>0.105769230769231</v>
      </c>
      <c r="I77">
        <v>10.8498573981606</v>
      </c>
      <c r="J77">
        <v>11.8115178173191</v>
      </c>
      <c r="K77">
        <v>-2.4010365795097202</v>
      </c>
      <c r="L77">
        <v>8.3504372379533098</v>
      </c>
      <c r="M77">
        <v>10.411615899056001</v>
      </c>
      <c r="N77">
        <v>6.6366756406833503</v>
      </c>
      <c r="O77">
        <v>8.6128130208591802</v>
      </c>
      <c r="P77">
        <v>6.2555809352980898</v>
      </c>
      <c r="Q77">
        <v>12.2732200033387</v>
      </c>
      <c r="R77">
        <v>1.53511200715322</v>
      </c>
      <c r="S77">
        <v>0.96299496387058103</v>
      </c>
      <c r="T77">
        <v>1.81216118900778</v>
      </c>
      <c r="U77">
        <v>0.26237578290586999</v>
      </c>
      <c r="V77">
        <v>-3.2894601475493799</v>
      </c>
      <c r="W77">
        <v>3.8142117133611202</v>
      </c>
      <c r="X77">
        <v>33</v>
      </c>
      <c r="Y77">
        <v>74</v>
      </c>
    </row>
    <row r="78" spans="1:25" x14ac:dyDescent="0.25">
      <c r="A78">
        <v>12132</v>
      </c>
      <c r="B78">
        <v>261</v>
      </c>
      <c r="C78" t="s">
        <v>75</v>
      </c>
      <c r="D78" s="11" t="s">
        <v>85</v>
      </c>
      <c r="E78" t="s">
        <v>133</v>
      </c>
      <c r="F78" t="s">
        <v>76</v>
      </c>
      <c r="G78" t="s">
        <v>79</v>
      </c>
      <c r="H78">
        <v>0.114942528735632</v>
      </c>
      <c r="I78">
        <v>11.525740451951</v>
      </c>
      <c r="J78">
        <v>11.8115178173191</v>
      </c>
      <c r="K78">
        <v>-2.1149546374113299</v>
      </c>
      <c r="L78">
        <v>10.7747102714855</v>
      </c>
      <c r="M78">
        <v>12.5632440321118</v>
      </c>
      <c r="N78">
        <v>9.2435370508802706</v>
      </c>
      <c r="O78">
        <v>11.052768475123401</v>
      </c>
      <c r="P78">
        <v>8.3737734646630599</v>
      </c>
      <c r="Q78">
        <v>14.182656095887401</v>
      </c>
      <c r="R78">
        <v>1.48185781408783</v>
      </c>
      <c r="S78">
        <v>0.84686402582438003</v>
      </c>
      <c r="T78">
        <v>1.7067751051057201</v>
      </c>
      <c r="U78">
        <v>0.27805820363782602</v>
      </c>
      <c r="V78">
        <v>-3.06722100236939</v>
      </c>
      <c r="W78">
        <v>3.6233374096450399</v>
      </c>
      <c r="X78">
        <v>52</v>
      </c>
      <c r="Y78">
        <v>75</v>
      </c>
    </row>
    <row r="79" spans="1:25" x14ac:dyDescent="0.25">
      <c r="A79">
        <v>22212</v>
      </c>
      <c r="B79">
        <v>88</v>
      </c>
      <c r="C79" t="s">
        <v>83</v>
      </c>
      <c r="D79" s="11" t="s">
        <v>85</v>
      </c>
      <c r="E79" t="s">
        <v>131</v>
      </c>
      <c r="F79" t="s">
        <v>82</v>
      </c>
      <c r="G79" t="s">
        <v>79</v>
      </c>
      <c r="H79">
        <v>0.22727272727272699</v>
      </c>
      <c r="I79">
        <v>20.517350545087801</v>
      </c>
      <c r="J79">
        <v>11.8115178173191</v>
      </c>
      <c r="K79">
        <v>-1.31415451653209</v>
      </c>
      <c r="L79">
        <v>21.222164644351199</v>
      </c>
      <c r="M79">
        <v>25.835825274573399</v>
      </c>
      <c r="N79">
        <v>17.402592415338599</v>
      </c>
      <c r="O79">
        <v>21.501631361186998</v>
      </c>
      <c r="P79">
        <v>16.561518819350301</v>
      </c>
      <c r="Q79">
        <v>28.339481270018801</v>
      </c>
      <c r="R79">
        <v>3.0045822578235901</v>
      </c>
      <c r="S79">
        <v>2.15133491307013</v>
      </c>
      <c r="T79">
        <v>3.6953695961598698</v>
      </c>
      <c r="U79">
        <v>0.27946671683579899</v>
      </c>
      <c r="V79">
        <v>-6.9634576916375499</v>
      </c>
      <c r="W79">
        <v>7.5223911253091398</v>
      </c>
      <c r="X79">
        <v>102</v>
      </c>
      <c r="Y79">
        <v>76</v>
      </c>
    </row>
    <row r="80" spans="1:25" x14ac:dyDescent="0.25">
      <c r="A80">
        <v>11112</v>
      </c>
      <c r="B80">
        <v>58</v>
      </c>
      <c r="C80" t="s">
        <v>75</v>
      </c>
      <c r="D80" s="11" t="s">
        <v>84</v>
      </c>
      <c r="E80" t="s">
        <v>131</v>
      </c>
      <c r="F80" t="s">
        <v>76</v>
      </c>
      <c r="G80" t="s">
        <v>79</v>
      </c>
      <c r="H80">
        <v>8.6206896551724102E-2</v>
      </c>
      <c r="I80">
        <v>9.7303657040167408</v>
      </c>
      <c r="J80">
        <v>11.8115178173191</v>
      </c>
      <c r="K80">
        <v>-2.8443808488099398</v>
      </c>
      <c r="L80">
        <v>5.4913291790449801</v>
      </c>
      <c r="M80">
        <v>7.0111364931254601</v>
      </c>
      <c r="N80">
        <v>4.3171814441632899</v>
      </c>
      <c r="O80">
        <v>5.7867781665365001</v>
      </c>
      <c r="P80">
        <v>4.0146868127614797</v>
      </c>
      <c r="Q80">
        <v>8.50565304783545</v>
      </c>
      <c r="R80">
        <v>1.14565465180459</v>
      </c>
      <c r="S80">
        <v>0.68723343085769495</v>
      </c>
      <c r="T80">
        <v>1.3359694493849501</v>
      </c>
      <c r="U80">
        <v>0.29544898749152398</v>
      </c>
      <c r="V80">
        <v>-2.32305113330297</v>
      </c>
      <c r="W80">
        <v>2.9139491082860198</v>
      </c>
      <c r="X80">
        <v>10</v>
      </c>
      <c r="Y80">
        <v>77</v>
      </c>
    </row>
    <row r="81" spans="1:25" x14ac:dyDescent="0.25">
      <c r="A81">
        <v>11171</v>
      </c>
      <c r="B81">
        <v>185</v>
      </c>
      <c r="C81" t="s">
        <v>75</v>
      </c>
      <c r="D81" s="11" t="s">
        <v>84</v>
      </c>
      <c r="E81" t="s">
        <v>137</v>
      </c>
      <c r="F81" t="s">
        <v>76</v>
      </c>
      <c r="G81" t="s">
        <v>78</v>
      </c>
      <c r="H81">
        <v>9.7297297297297303E-2</v>
      </c>
      <c r="I81">
        <v>10.0246588682162</v>
      </c>
      <c r="J81">
        <v>11.8115178173191</v>
      </c>
      <c r="K81">
        <v>-2.3398423859498299</v>
      </c>
      <c r="L81">
        <v>8.7645776098393</v>
      </c>
      <c r="M81">
        <v>10.256387759390799</v>
      </c>
      <c r="N81">
        <v>7.4305448703100803</v>
      </c>
      <c r="O81">
        <v>9.0623220028330191</v>
      </c>
      <c r="P81">
        <v>6.7289946840070902</v>
      </c>
      <c r="Q81">
        <v>12.0324038569825</v>
      </c>
      <c r="R81">
        <v>1.3529105033100599</v>
      </c>
      <c r="S81">
        <v>0.72087828803078502</v>
      </c>
      <c r="T81">
        <v>1.5329815185190101</v>
      </c>
      <c r="U81">
        <v>0.29774439299372102</v>
      </c>
      <c r="V81">
        <v>-2.7068993833035502</v>
      </c>
      <c r="W81">
        <v>3.3023881692909902</v>
      </c>
      <c r="X81">
        <v>39</v>
      </c>
      <c r="Y81">
        <v>78</v>
      </c>
    </row>
    <row r="82" spans="1:25" x14ac:dyDescent="0.25">
      <c r="A82">
        <v>22241</v>
      </c>
      <c r="B82">
        <v>52</v>
      </c>
      <c r="C82" t="s">
        <v>83</v>
      </c>
      <c r="D82" s="11" t="s">
        <v>85</v>
      </c>
      <c r="E82" t="s">
        <v>134</v>
      </c>
      <c r="F82" t="s">
        <v>82</v>
      </c>
      <c r="G82" t="s">
        <v>78</v>
      </c>
      <c r="H82">
        <v>0.21153846153846201</v>
      </c>
      <c r="I82">
        <v>18.244056031793399</v>
      </c>
      <c r="J82">
        <v>11.8115178173191</v>
      </c>
      <c r="K82">
        <v>-1.49457550484311</v>
      </c>
      <c r="L82">
        <v>18.415821516659399</v>
      </c>
      <c r="M82">
        <v>21.661480681233201</v>
      </c>
      <c r="N82">
        <v>15.391454389197399</v>
      </c>
      <c r="O82">
        <v>18.748755095576701</v>
      </c>
      <c r="P82">
        <v>13.881146200716101</v>
      </c>
      <c r="Q82">
        <v>24.651687082039899</v>
      </c>
      <c r="R82">
        <v>2.74758695952137</v>
      </c>
      <c r="S82">
        <v>1.5994965030703401</v>
      </c>
      <c r="T82">
        <v>3.17924883635524</v>
      </c>
      <c r="U82">
        <v>0.33293357891735897</v>
      </c>
      <c r="V82">
        <v>-5.89839414033891</v>
      </c>
      <c r="W82">
        <v>6.5642612981736299</v>
      </c>
      <c r="X82">
        <v>94</v>
      </c>
      <c r="Y82">
        <v>79</v>
      </c>
    </row>
    <row r="83" spans="1:25" x14ac:dyDescent="0.25">
      <c r="A83">
        <v>11231</v>
      </c>
      <c r="B83">
        <v>293</v>
      </c>
      <c r="C83" t="s">
        <v>75</v>
      </c>
      <c r="D83" s="11" t="s">
        <v>84</v>
      </c>
      <c r="E83" t="s">
        <v>133</v>
      </c>
      <c r="F83" t="s">
        <v>82</v>
      </c>
      <c r="G83" t="s">
        <v>78</v>
      </c>
      <c r="H83">
        <v>9.2150170648464202E-2</v>
      </c>
      <c r="I83">
        <v>9.4655546712805307</v>
      </c>
      <c r="J83">
        <v>11.8115178173191</v>
      </c>
      <c r="K83">
        <v>-2.40442615349271</v>
      </c>
      <c r="L83">
        <v>8.3196026619082595</v>
      </c>
      <c r="M83">
        <v>9.6116950154855498</v>
      </c>
      <c r="N83">
        <v>7.0834231754584698</v>
      </c>
      <c r="O83">
        <v>8.6570242935267991</v>
      </c>
      <c r="P83">
        <v>6.4121670645926399</v>
      </c>
      <c r="Q83">
        <v>11.221813572229999</v>
      </c>
      <c r="R83">
        <v>1.22695063970341</v>
      </c>
      <c r="S83">
        <v>0.64496730612935604</v>
      </c>
      <c r="T83">
        <v>1.3861423802208701</v>
      </c>
      <c r="U83">
        <v>0.33742163161854</v>
      </c>
      <c r="V83">
        <v>-2.3794174336143601</v>
      </c>
      <c r="W83">
        <v>3.0542606968514399</v>
      </c>
      <c r="X83">
        <v>34</v>
      </c>
      <c r="Y83">
        <v>80</v>
      </c>
    </row>
    <row r="84" spans="1:25" x14ac:dyDescent="0.25">
      <c r="A84">
        <v>11232</v>
      </c>
      <c r="B84">
        <v>440</v>
      </c>
      <c r="C84" t="s">
        <v>75</v>
      </c>
      <c r="D84" s="11" t="s">
        <v>84</v>
      </c>
      <c r="E84" t="s">
        <v>133</v>
      </c>
      <c r="F84" t="s">
        <v>82</v>
      </c>
      <c r="G84" t="s">
        <v>79</v>
      </c>
      <c r="H84">
        <v>0.115909090909091</v>
      </c>
      <c r="I84">
        <v>11.604405783855499</v>
      </c>
      <c r="J84">
        <v>11.8115178173191</v>
      </c>
      <c r="K84">
        <v>-2.0990966331614902</v>
      </c>
      <c r="L84">
        <v>10.926332084542</v>
      </c>
      <c r="M84">
        <v>12.596450098278501</v>
      </c>
      <c r="N84">
        <v>9.5026685485996705</v>
      </c>
      <c r="O84">
        <v>11.2648604425603</v>
      </c>
      <c r="P84">
        <v>8.6616722291358208</v>
      </c>
      <c r="Q84">
        <v>14.3963572597434</v>
      </c>
      <c r="R84">
        <v>1.4629298547468299</v>
      </c>
      <c r="S84">
        <v>0.789229987162956</v>
      </c>
      <c r="T84">
        <v>1.6622417792086699</v>
      </c>
      <c r="U84">
        <v>0.33852835801828401</v>
      </c>
      <c r="V84">
        <v>-2.9194655292307101</v>
      </c>
      <c r="W84">
        <v>3.59652224526728</v>
      </c>
      <c r="X84">
        <v>54</v>
      </c>
      <c r="Y84">
        <v>81</v>
      </c>
    </row>
    <row r="85" spans="1:25" x14ac:dyDescent="0.25">
      <c r="A85">
        <v>11142</v>
      </c>
      <c r="B85">
        <v>153</v>
      </c>
      <c r="C85" t="s">
        <v>75</v>
      </c>
      <c r="D85" s="11" t="s">
        <v>84</v>
      </c>
      <c r="E85" t="s">
        <v>134</v>
      </c>
      <c r="F85" t="s">
        <v>76</v>
      </c>
      <c r="G85" t="s">
        <v>79</v>
      </c>
      <c r="H85">
        <v>7.8431372549019607E-2</v>
      </c>
      <c r="I85">
        <v>8.5415740542217797</v>
      </c>
      <c r="J85">
        <v>11.8115178173191</v>
      </c>
      <c r="K85">
        <v>-2.7194723167897399</v>
      </c>
      <c r="L85">
        <v>6.2168977344759702</v>
      </c>
      <c r="M85">
        <v>7.5366594391251098</v>
      </c>
      <c r="N85">
        <v>5.0472568969576397</v>
      </c>
      <c r="O85">
        <v>6.5623601185036602</v>
      </c>
      <c r="P85">
        <v>4.5126115265598701</v>
      </c>
      <c r="Q85">
        <v>9.0868746386970596</v>
      </c>
      <c r="R85">
        <v>1.1669038551370401</v>
      </c>
      <c r="S85">
        <v>0.63505166892027498</v>
      </c>
      <c r="T85">
        <v>1.3285161757886499</v>
      </c>
      <c r="U85">
        <v>0.34546238402769702</v>
      </c>
      <c r="V85">
        <v>-2.2584293205180601</v>
      </c>
      <c r="W85">
        <v>2.9493540885734602</v>
      </c>
      <c r="X85">
        <v>14</v>
      </c>
      <c r="Y85">
        <v>82</v>
      </c>
    </row>
    <row r="86" spans="1:25" x14ac:dyDescent="0.25">
      <c r="A86">
        <v>22142</v>
      </c>
      <c r="B86">
        <v>133</v>
      </c>
      <c r="C86" t="s">
        <v>83</v>
      </c>
      <c r="D86" s="11" t="s">
        <v>85</v>
      </c>
      <c r="E86" t="s">
        <v>134</v>
      </c>
      <c r="F86" t="s">
        <v>76</v>
      </c>
      <c r="G86" t="s">
        <v>79</v>
      </c>
      <c r="H86">
        <v>0.180451127819549</v>
      </c>
      <c r="I86">
        <v>17.0850853041505</v>
      </c>
      <c r="J86">
        <v>11.8115178173191</v>
      </c>
      <c r="K86">
        <v>-1.63259025381211</v>
      </c>
      <c r="L86">
        <v>16.3920515641293</v>
      </c>
      <c r="M86">
        <v>19.351144787875</v>
      </c>
      <c r="N86">
        <v>13.7579088172832</v>
      </c>
      <c r="O86">
        <v>16.803087188279001</v>
      </c>
      <c r="P86">
        <v>12.985255009686</v>
      </c>
      <c r="Q86">
        <v>22.294174451899998</v>
      </c>
      <c r="R86">
        <v>2.37472434750359</v>
      </c>
      <c r="S86">
        <v>1.42684591086524</v>
      </c>
      <c r="T86">
        <v>2.7704160301260199</v>
      </c>
      <c r="U86">
        <v>0.41103562414962302</v>
      </c>
      <c r="V86">
        <v>-5.0189797948973798</v>
      </c>
      <c r="W86">
        <v>5.8410510431966198</v>
      </c>
      <c r="X86">
        <v>88</v>
      </c>
      <c r="Y86">
        <v>83</v>
      </c>
    </row>
    <row r="87" spans="1:25" x14ac:dyDescent="0.25">
      <c r="A87">
        <v>21221</v>
      </c>
      <c r="B87">
        <v>177</v>
      </c>
      <c r="C87" t="s">
        <v>83</v>
      </c>
      <c r="D87" s="11" t="s">
        <v>84</v>
      </c>
      <c r="E87" t="s">
        <v>132</v>
      </c>
      <c r="F87" t="s">
        <v>82</v>
      </c>
      <c r="G87" t="s">
        <v>78</v>
      </c>
      <c r="H87">
        <v>0.14124293785310699</v>
      </c>
      <c r="I87">
        <v>13.822405468643099</v>
      </c>
      <c r="J87">
        <v>11.8115178173191</v>
      </c>
      <c r="K87">
        <v>-1.91001870147533</v>
      </c>
      <c r="L87">
        <v>12.868134697592</v>
      </c>
      <c r="M87">
        <v>15.108030396372399</v>
      </c>
      <c r="N87">
        <v>11.0010321156212</v>
      </c>
      <c r="O87">
        <v>13.2855023516518</v>
      </c>
      <c r="P87">
        <v>10.034496876463701</v>
      </c>
      <c r="Q87">
        <v>17.096359761197899</v>
      </c>
      <c r="R87">
        <v>1.8014956338607699</v>
      </c>
      <c r="S87">
        <v>1.0477036430487701</v>
      </c>
      <c r="T87">
        <v>2.0840032251599498</v>
      </c>
      <c r="U87">
        <v>0.41736765405979698</v>
      </c>
      <c r="V87">
        <v>-3.6672786672537101</v>
      </c>
      <c r="W87">
        <v>4.5020139753733002</v>
      </c>
      <c r="X87">
        <v>69</v>
      </c>
      <c r="Y87">
        <v>84</v>
      </c>
    </row>
    <row r="88" spans="1:25" x14ac:dyDescent="0.25">
      <c r="A88">
        <v>11172</v>
      </c>
      <c r="B88">
        <v>305</v>
      </c>
      <c r="C88" t="s">
        <v>75</v>
      </c>
      <c r="D88" s="11" t="s">
        <v>84</v>
      </c>
      <c r="E88" t="s">
        <v>137</v>
      </c>
      <c r="F88" t="s">
        <v>76</v>
      </c>
      <c r="G88" t="s">
        <v>79</v>
      </c>
      <c r="H88">
        <v>0.124590163934426</v>
      </c>
      <c r="I88">
        <v>12.4048288355343</v>
      </c>
      <c r="J88">
        <v>11.8115178173191</v>
      </c>
      <c r="K88">
        <v>-2.03451286561861</v>
      </c>
      <c r="L88">
        <v>11.558700249062101</v>
      </c>
      <c r="M88">
        <v>13.2492407142052</v>
      </c>
      <c r="N88">
        <v>9.9886014336848898</v>
      </c>
      <c r="O88">
        <v>11.984402647382099</v>
      </c>
      <c r="P88">
        <v>9.3114676064434807</v>
      </c>
      <c r="Q88">
        <v>15.274910544118701</v>
      </c>
      <c r="R88">
        <v>1.52128646369265</v>
      </c>
      <c r="S88">
        <v>0.83179573482661695</v>
      </c>
      <c r="T88">
        <v>1.7338387033084299</v>
      </c>
      <c r="U88">
        <v>0.42570239832000401</v>
      </c>
      <c r="V88">
        <v>-2.9726214601645098</v>
      </c>
      <c r="W88">
        <v>3.8240262568045198</v>
      </c>
      <c r="X88">
        <v>58</v>
      </c>
      <c r="Y88">
        <v>85</v>
      </c>
    </row>
    <row r="89" spans="1:25" x14ac:dyDescent="0.25">
      <c r="A89">
        <v>21241</v>
      </c>
      <c r="B89">
        <v>70</v>
      </c>
      <c r="C89" t="s">
        <v>83</v>
      </c>
      <c r="D89" s="11" t="s">
        <v>84</v>
      </c>
      <c r="E89" t="s">
        <v>134</v>
      </c>
      <c r="F89" t="s">
        <v>82</v>
      </c>
      <c r="G89" t="s">
        <v>78</v>
      </c>
      <c r="H89">
        <v>0.157142857142857</v>
      </c>
      <c r="I89">
        <v>14.660358517814201</v>
      </c>
      <c r="J89">
        <v>11.8115178173191</v>
      </c>
      <c r="K89">
        <v>-1.9220617698934901</v>
      </c>
      <c r="L89">
        <v>12.853953381158099</v>
      </c>
      <c r="M89">
        <v>15.290903925797499</v>
      </c>
      <c r="N89">
        <v>10.4313576890154</v>
      </c>
      <c r="O89">
        <v>13.287044021701099</v>
      </c>
      <c r="P89">
        <v>9.6765276053866405</v>
      </c>
      <c r="Q89">
        <v>17.942202255272999</v>
      </c>
      <c r="R89">
        <v>2.1085904719097801</v>
      </c>
      <c r="S89">
        <v>1.23968016244443</v>
      </c>
      <c r="T89">
        <v>2.4460091339541101</v>
      </c>
      <c r="U89">
        <v>0.43309064054298002</v>
      </c>
      <c r="V89">
        <v>-4.3610872620070804</v>
      </c>
      <c r="W89">
        <v>5.2272685430930403</v>
      </c>
      <c r="X89">
        <v>70</v>
      </c>
      <c r="Y89">
        <v>86</v>
      </c>
    </row>
    <row r="90" spans="1:25" x14ac:dyDescent="0.25">
      <c r="A90">
        <v>22121</v>
      </c>
      <c r="B90">
        <v>73</v>
      </c>
      <c r="C90" t="s">
        <v>83</v>
      </c>
      <c r="D90" s="11" t="s">
        <v>85</v>
      </c>
      <c r="E90" t="s">
        <v>132</v>
      </c>
      <c r="F90" t="s">
        <v>76</v>
      </c>
      <c r="G90" t="s">
        <v>78</v>
      </c>
      <c r="H90">
        <v>0.150684931506849</v>
      </c>
      <c r="I90">
        <v>14.206947368377</v>
      </c>
      <c r="J90">
        <v>11.8115178173191</v>
      </c>
      <c r="K90">
        <v>-1.92587670572517</v>
      </c>
      <c r="L90">
        <v>12.690445030600999</v>
      </c>
      <c r="M90">
        <v>14.864882769503501</v>
      </c>
      <c r="N90">
        <v>10.750867463350399</v>
      </c>
      <c r="O90">
        <v>13.1406134776746</v>
      </c>
      <c r="P90">
        <v>9.6201442322823603</v>
      </c>
      <c r="Q90">
        <v>17.706122478211899</v>
      </c>
      <c r="R90">
        <v>2.0627495525330399</v>
      </c>
      <c r="S90">
        <v>1.0494937005492699</v>
      </c>
      <c r="T90">
        <v>2.3143838799922198</v>
      </c>
      <c r="U90">
        <v>0.45016844707368597</v>
      </c>
      <c r="V90">
        <v>-4.0860239577110598</v>
      </c>
      <c r="W90">
        <v>4.9863608518584401</v>
      </c>
      <c r="X90">
        <v>67</v>
      </c>
      <c r="Y90">
        <v>87</v>
      </c>
    </row>
    <row r="91" spans="1:25" x14ac:dyDescent="0.25">
      <c r="A91">
        <v>11211</v>
      </c>
      <c r="B91">
        <v>62</v>
      </c>
      <c r="C91" t="s">
        <v>75</v>
      </c>
      <c r="D91" s="11" t="s">
        <v>84</v>
      </c>
      <c r="E91" t="s">
        <v>131</v>
      </c>
      <c r="F91" t="s">
        <v>82</v>
      </c>
      <c r="G91" t="s">
        <v>78</v>
      </c>
      <c r="H91">
        <v>0.112903225806452</v>
      </c>
      <c r="I91">
        <v>11.455766206871701</v>
      </c>
      <c r="J91">
        <v>11.8115178173191</v>
      </c>
      <c r="K91">
        <v>-2.7063660998409498</v>
      </c>
      <c r="L91">
        <v>6.2694572022178097</v>
      </c>
      <c r="M91">
        <v>7.9738144770489097</v>
      </c>
      <c r="N91">
        <v>4.8199030148342601</v>
      </c>
      <c r="O91">
        <v>6.74497823682891</v>
      </c>
      <c r="P91">
        <v>4.64464325846322</v>
      </c>
      <c r="Q91">
        <v>9.6240932509803496</v>
      </c>
      <c r="R91">
        <v>1.2702678552339599</v>
      </c>
      <c r="S91">
        <v>0.80456925056496298</v>
      </c>
      <c r="T91">
        <v>1.50363296817919</v>
      </c>
      <c r="U91">
        <v>0.47552103461110101</v>
      </c>
      <c r="V91">
        <v>-2.4715995830201098</v>
      </c>
      <c r="W91">
        <v>3.42264165224231</v>
      </c>
      <c r="X91">
        <v>17</v>
      </c>
      <c r="Y91">
        <v>88</v>
      </c>
    </row>
    <row r="92" spans="1:25" x14ac:dyDescent="0.25">
      <c r="A92">
        <v>11222</v>
      </c>
      <c r="B92">
        <v>314</v>
      </c>
      <c r="C92" t="s">
        <v>75</v>
      </c>
      <c r="D92" s="11" t="s">
        <v>84</v>
      </c>
      <c r="E92" t="s">
        <v>132</v>
      </c>
      <c r="F92" t="s">
        <v>82</v>
      </c>
      <c r="G92" t="s">
        <v>79</v>
      </c>
      <c r="H92">
        <v>0.105095541401274</v>
      </c>
      <c r="I92">
        <v>10.6223608416263</v>
      </c>
      <c r="J92">
        <v>11.8115178173191</v>
      </c>
      <c r="K92">
        <v>-2.2640849790713702</v>
      </c>
      <c r="L92">
        <v>9.4270681205321001</v>
      </c>
      <c r="M92">
        <v>11.0277142144392</v>
      </c>
      <c r="N92">
        <v>7.9694666410577604</v>
      </c>
      <c r="O92">
        <v>9.9041850443809203</v>
      </c>
      <c r="P92">
        <v>7.52848672392666</v>
      </c>
      <c r="Q92">
        <v>12.7946551466411</v>
      </c>
      <c r="R92">
        <v>1.34341031191696</v>
      </c>
      <c r="S92">
        <v>0.78016519729117295</v>
      </c>
      <c r="T92">
        <v>1.55351504699156</v>
      </c>
      <c r="U92">
        <v>0.47711692384881699</v>
      </c>
      <c r="V92">
        <v>-2.56777256825464</v>
      </c>
      <c r="W92">
        <v>3.5220064159522702</v>
      </c>
      <c r="X92">
        <v>44</v>
      </c>
      <c r="Y92">
        <v>89</v>
      </c>
    </row>
    <row r="93" spans="1:25" x14ac:dyDescent="0.25">
      <c r="A93">
        <v>22232</v>
      </c>
      <c r="B93">
        <v>276</v>
      </c>
      <c r="C93" t="s">
        <v>83</v>
      </c>
      <c r="D93" s="11" t="s">
        <v>85</v>
      </c>
      <c r="E93" t="s">
        <v>133</v>
      </c>
      <c r="F93" t="s">
        <v>82</v>
      </c>
      <c r="G93" t="s">
        <v>79</v>
      </c>
      <c r="H93">
        <v>0.278985507246377</v>
      </c>
      <c r="I93">
        <v>26.817674714754101</v>
      </c>
      <c r="J93">
        <v>11.8115178173191</v>
      </c>
      <c r="K93">
        <v>-1.0122145701838601</v>
      </c>
      <c r="L93">
        <v>26.699676001317702</v>
      </c>
      <c r="M93">
        <v>29.947745363395502</v>
      </c>
      <c r="N93">
        <v>23.616952460509498</v>
      </c>
      <c r="O93">
        <v>27.2121467708746</v>
      </c>
      <c r="P93">
        <v>22.3973326698279</v>
      </c>
      <c r="Q93">
        <v>32.9371445610292</v>
      </c>
      <c r="R93">
        <v>2.68872752326565</v>
      </c>
      <c r="S93">
        <v>1.61499818951173</v>
      </c>
      <c r="T93">
        <v>3.13647490767779</v>
      </c>
      <c r="U93">
        <v>0.51247076955689497</v>
      </c>
      <c r="V93">
        <v>-5.6350200494915796</v>
      </c>
      <c r="W93">
        <v>6.6599615886053698</v>
      </c>
      <c r="X93">
        <v>108</v>
      </c>
      <c r="Y93">
        <v>90</v>
      </c>
    </row>
    <row r="94" spans="1:25" x14ac:dyDescent="0.25">
      <c r="A94">
        <v>12231</v>
      </c>
      <c r="B94">
        <v>173</v>
      </c>
      <c r="C94" t="s">
        <v>75</v>
      </c>
      <c r="D94" s="11" t="s">
        <v>85</v>
      </c>
      <c r="E94" t="s">
        <v>133</v>
      </c>
      <c r="F94" t="s">
        <v>82</v>
      </c>
      <c r="G94" t="s">
        <v>78</v>
      </c>
      <c r="H94">
        <v>0.13872832369942201</v>
      </c>
      <c r="I94">
        <v>13.596657934267901</v>
      </c>
      <c r="J94">
        <v>11.8115178173191</v>
      </c>
      <c r="K94">
        <v>-1.9769398884423399</v>
      </c>
      <c r="L94">
        <v>12.180942730935101</v>
      </c>
      <c r="M94">
        <v>14.147377565466799</v>
      </c>
      <c r="N94">
        <v>10.4736322280779</v>
      </c>
      <c r="O94">
        <v>12.699289836763899</v>
      </c>
      <c r="P94">
        <v>9.7540769679441404</v>
      </c>
      <c r="Q94">
        <v>16.807840178599399</v>
      </c>
      <c r="R94">
        <v>1.7994293904732801</v>
      </c>
      <c r="S94">
        <v>0.937179933007383</v>
      </c>
      <c r="T94">
        <v>2.0288549376756202</v>
      </c>
      <c r="U94">
        <v>0.51834710582884602</v>
      </c>
      <c r="V94">
        <v>-3.4582085720153701</v>
      </c>
      <c r="W94">
        <v>4.4949027836730604</v>
      </c>
      <c r="X94">
        <v>64</v>
      </c>
      <c r="Y94">
        <v>91</v>
      </c>
    </row>
    <row r="95" spans="1:25" x14ac:dyDescent="0.25">
      <c r="A95">
        <v>12261</v>
      </c>
      <c r="B95">
        <v>82</v>
      </c>
      <c r="C95" t="s">
        <v>75</v>
      </c>
      <c r="D95" s="11" t="s">
        <v>85</v>
      </c>
      <c r="E95" t="s">
        <v>136</v>
      </c>
      <c r="F95" t="s">
        <v>82</v>
      </c>
      <c r="G95" t="s">
        <v>78</v>
      </c>
      <c r="H95">
        <v>0.146341463414634</v>
      </c>
      <c r="I95">
        <v>13.9453433045166</v>
      </c>
      <c r="J95">
        <v>11.8115178173191</v>
      </c>
      <c r="K95">
        <v>-1.9956601257553599</v>
      </c>
      <c r="L95">
        <v>12.0076058201581</v>
      </c>
      <c r="M95">
        <v>14.133309430565699</v>
      </c>
      <c r="N95">
        <v>10.0518060663693</v>
      </c>
      <c r="O95">
        <v>12.5645410636143</v>
      </c>
      <c r="P95">
        <v>9.1403110928453</v>
      </c>
      <c r="Q95">
        <v>16.624407948437799</v>
      </c>
      <c r="R95">
        <v>1.90920838152869</v>
      </c>
      <c r="S95">
        <v>1.0411998378051901</v>
      </c>
      <c r="T95">
        <v>2.1746663528792101</v>
      </c>
      <c r="U95">
        <v>0.55693524345628398</v>
      </c>
      <c r="V95">
        <v>-3.7054108081869601</v>
      </c>
      <c r="W95">
        <v>4.8192812950995298</v>
      </c>
      <c r="X95">
        <v>62</v>
      </c>
      <c r="Y95">
        <v>92</v>
      </c>
    </row>
    <row r="96" spans="1:25" x14ac:dyDescent="0.25">
      <c r="A96">
        <v>22171</v>
      </c>
      <c r="B96">
        <v>96</v>
      </c>
      <c r="C96" t="s">
        <v>83</v>
      </c>
      <c r="D96" s="11" t="s">
        <v>85</v>
      </c>
      <c r="E96" t="s">
        <v>137</v>
      </c>
      <c r="F96" t="s">
        <v>76</v>
      </c>
      <c r="G96" t="s">
        <v>78</v>
      </c>
      <c r="H96">
        <v>0.23958333333333301</v>
      </c>
      <c r="I96">
        <v>21.711224612788399</v>
      </c>
      <c r="J96">
        <v>11.8115178173191</v>
      </c>
      <c r="K96">
        <v>-1.25296032297219</v>
      </c>
      <c r="L96">
        <v>22.1382892782628</v>
      </c>
      <c r="M96">
        <v>25.068209274379299</v>
      </c>
      <c r="N96">
        <v>19.523756607902701</v>
      </c>
      <c r="O96">
        <v>22.703761254584698</v>
      </c>
      <c r="P96">
        <v>17.689645629532901</v>
      </c>
      <c r="Q96">
        <v>28.590222104115799</v>
      </c>
      <c r="R96">
        <v>2.7807593047405401</v>
      </c>
      <c r="S96">
        <v>1.4144011904277001</v>
      </c>
      <c r="T96">
        <v>3.1198001600077498</v>
      </c>
      <c r="U96">
        <v>0.565471976321824</v>
      </c>
      <c r="V96">
        <v>-5.5493363372933597</v>
      </c>
      <c r="W96">
        <v>6.6802802899370102</v>
      </c>
      <c r="X96">
        <v>103</v>
      </c>
      <c r="Y96">
        <v>93</v>
      </c>
    </row>
    <row r="97" spans="1:25" x14ac:dyDescent="0.25">
      <c r="A97">
        <v>21252</v>
      </c>
      <c r="B97">
        <v>322</v>
      </c>
      <c r="C97" t="s">
        <v>83</v>
      </c>
      <c r="D97" s="11" t="s">
        <v>84</v>
      </c>
      <c r="E97" t="s">
        <v>135</v>
      </c>
      <c r="F97" t="s">
        <v>82</v>
      </c>
      <c r="G97" t="s">
        <v>79</v>
      </c>
      <c r="H97">
        <v>0.13664596273291901</v>
      </c>
      <c r="I97">
        <v>13.5220741689579</v>
      </c>
      <c r="J97">
        <v>11.8115178173191</v>
      </c>
      <c r="K97">
        <v>-1.96678611695563</v>
      </c>
      <c r="L97">
        <v>12.3149751636769</v>
      </c>
      <c r="M97">
        <v>14.3385247295887</v>
      </c>
      <c r="N97">
        <v>10.429188827368</v>
      </c>
      <c r="O97">
        <v>12.923935795308401</v>
      </c>
      <c r="P97">
        <v>9.99582118767173</v>
      </c>
      <c r="Q97">
        <v>16.2676684216963</v>
      </c>
      <c r="R97">
        <v>1.5999610290879001</v>
      </c>
      <c r="S97">
        <v>0.99727956689303998</v>
      </c>
      <c r="T97">
        <v>1.8853227387220399</v>
      </c>
      <c r="U97">
        <v>0.60896063163146297</v>
      </c>
      <c r="V97">
        <v>-3.0862719362637399</v>
      </c>
      <c r="W97">
        <v>4.3041931995266598</v>
      </c>
      <c r="X97">
        <v>66</v>
      </c>
      <c r="Y97">
        <v>94</v>
      </c>
    </row>
    <row r="98" spans="1:25" x14ac:dyDescent="0.25">
      <c r="A98">
        <v>12212</v>
      </c>
      <c r="B98">
        <v>110</v>
      </c>
      <c r="C98" t="s">
        <v>75</v>
      </c>
      <c r="D98" s="11" t="s">
        <v>85</v>
      </c>
      <c r="E98" t="s">
        <v>131</v>
      </c>
      <c r="F98" t="s">
        <v>82</v>
      </c>
      <c r="G98" t="s">
        <v>79</v>
      </c>
      <c r="H98">
        <v>0.15454545454545501</v>
      </c>
      <c r="I98">
        <v>14.762030329544199</v>
      </c>
      <c r="J98">
        <v>11.8115178173191</v>
      </c>
      <c r="K98">
        <v>-1.97355031445935</v>
      </c>
      <c r="L98">
        <v>12.2661443859255</v>
      </c>
      <c r="M98">
        <v>15.221989353463499</v>
      </c>
      <c r="N98">
        <v>9.7031547530302706</v>
      </c>
      <c r="O98">
        <v>12.896422357004299</v>
      </c>
      <c r="P98">
        <v>9.1610941146078595</v>
      </c>
      <c r="Q98">
        <v>17.9659803321927</v>
      </c>
      <c r="R98">
        <v>2.2461444432614401</v>
      </c>
      <c r="S98">
        <v>1.40786596949826</v>
      </c>
      <c r="T98">
        <v>2.6508963480425898</v>
      </c>
      <c r="U98">
        <v>0.63027797107882899</v>
      </c>
      <c r="V98">
        <v>-4.5654788710846397</v>
      </c>
      <c r="W98">
        <v>5.8260348132423001</v>
      </c>
      <c r="X98">
        <v>65</v>
      </c>
      <c r="Y98">
        <v>95</v>
      </c>
    </row>
    <row r="99" spans="1:25" x14ac:dyDescent="0.25">
      <c r="A99">
        <v>11221</v>
      </c>
      <c r="B99">
        <v>148</v>
      </c>
      <c r="C99" t="s">
        <v>75</v>
      </c>
      <c r="D99" s="11" t="s">
        <v>84</v>
      </c>
      <c r="E99" t="s">
        <v>132</v>
      </c>
      <c r="F99" t="s">
        <v>82</v>
      </c>
      <c r="G99" t="s">
        <v>78</v>
      </c>
      <c r="H99">
        <v>0.108108108108108</v>
      </c>
      <c r="I99">
        <v>10.976512804507101</v>
      </c>
      <c r="J99">
        <v>11.8115178173191</v>
      </c>
      <c r="K99">
        <v>-2.56941449940259</v>
      </c>
      <c r="L99">
        <v>7.1142269034818701</v>
      </c>
      <c r="M99">
        <v>8.4973824753461908</v>
      </c>
      <c r="N99">
        <v>5.9687761968118096</v>
      </c>
      <c r="O99">
        <v>7.9091904199949399</v>
      </c>
      <c r="P99">
        <v>5.8223278442873596</v>
      </c>
      <c r="Q99">
        <v>10.837155079968401</v>
      </c>
      <c r="R99">
        <v>1.2792926621635199</v>
      </c>
      <c r="S99">
        <v>0.64505262207509795</v>
      </c>
      <c r="T99">
        <v>1.43271860485979</v>
      </c>
      <c r="U99">
        <v>0.79496351651306696</v>
      </c>
      <c r="V99">
        <v>-2.0131649490121299</v>
      </c>
      <c r="W99">
        <v>3.6030919820382601</v>
      </c>
      <c r="X99">
        <v>27</v>
      </c>
      <c r="Y99">
        <v>96</v>
      </c>
    </row>
    <row r="100" spans="1:25" x14ac:dyDescent="0.25">
      <c r="A100">
        <v>11132</v>
      </c>
      <c r="B100">
        <v>338</v>
      </c>
      <c r="C100" t="s">
        <v>75</v>
      </c>
      <c r="D100" s="11" t="s">
        <v>84</v>
      </c>
      <c r="E100" t="s">
        <v>133</v>
      </c>
      <c r="F100" t="s">
        <v>76</v>
      </c>
      <c r="G100" t="s">
        <v>79</v>
      </c>
      <c r="H100">
        <v>9.1715976331360902E-2</v>
      </c>
      <c r="I100">
        <v>9.3959279291509699</v>
      </c>
      <c r="J100">
        <v>11.8115178173191</v>
      </c>
      <c r="K100">
        <v>-2.5424409024617098</v>
      </c>
      <c r="L100">
        <v>7.2765487674430798</v>
      </c>
      <c r="M100">
        <v>8.5155295150634895</v>
      </c>
      <c r="N100">
        <v>6.1778584589992196</v>
      </c>
      <c r="O100">
        <v>8.0862252790894704</v>
      </c>
      <c r="P100">
        <v>6.1383317407642002</v>
      </c>
      <c r="Q100">
        <v>10.501030986160799</v>
      </c>
      <c r="R100">
        <v>1.1129334809685201</v>
      </c>
      <c r="S100">
        <v>0.596344657159252</v>
      </c>
      <c r="T100">
        <v>1.26263529302134</v>
      </c>
      <c r="U100">
        <v>0.80967651164639298</v>
      </c>
      <c r="V100">
        <v>-1.66508866267544</v>
      </c>
      <c r="W100">
        <v>3.2844416859682299</v>
      </c>
      <c r="X100">
        <v>29</v>
      </c>
      <c r="Y100">
        <v>97</v>
      </c>
    </row>
    <row r="101" spans="1:25" x14ac:dyDescent="0.25">
      <c r="A101">
        <v>21232</v>
      </c>
      <c r="B101">
        <v>379</v>
      </c>
      <c r="C101" t="s">
        <v>83</v>
      </c>
      <c r="D101" s="11" t="s">
        <v>84</v>
      </c>
      <c r="E101" t="s">
        <v>133</v>
      </c>
      <c r="F101" t="s">
        <v>82</v>
      </c>
      <c r="G101" t="s">
        <v>79</v>
      </c>
      <c r="H101">
        <v>0.20844327176781</v>
      </c>
      <c r="I101">
        <v>20.339749783279199</v>
      </c>
      <c r="J101">
        <v>11.8115178173191</v>
      </c>
      <c r="K101">
        <v>-1.43970083523423</v>
      </c>
      <c r="L101">
        <v>19.182942946468899</v>
      </c>
      <c r="M101">
        <v>21.5862706055077</v>
      </c>
      <c r="N101">
        <v>16.9714555384714</v>
      </c>
      <c r="O101">
        <v>20.1733837430899</v>
      </c>
      <c r="P101">
        <v>16.451652291078901</v>
      </c>
      <c r="Q101">
        <v>24.844923912740601</v>
      </c>
      <c r="R101">
        <v>2.1411407198116499</v>
      </c>
      <c r="S101">
        <v>1.1772487415909101</v>
      </c>
      <c r="T101">
        <v>2.4434398256582699</v>
      </c>
      <c r="U101">
        <v>0.99044079662108697</v>
      </c>
      <c r="V101">
        <v>-3.7987012616691298</v>
      </c>
      <c r="W101">
        <v>5.7795828549113004</v>
      </c>
      <c r="X101">
        <v>98</v>
      </c>
      <c r="Y101">
        <v>98</v>
      </c>
    </row>
    <row r="102" spans="1:25" x14ac:dyDescent="0.25">
      <c r="A102">
        <v>12162</v>
      </c>
      <c r="B102">
        <v>175</v>
      </c>
      <c r="C102" t="s">
        <v>75</v>
      </c>
      <c r="D102" s="11" t="s">
        <v>85</v>
      </c>
      <c r="E102" t="s">
        <v>136</v>
      </c>
      <c r="F102" t="s">
        <v>76</v>
      </c>
      <c r="G102" t="s">
        <v>79</v>
      </c>
      <c r="H102">
        <v>0.13714285714285701</v>
      </c>
      <c r="I102">
        <v>13.460919481963799</v>
      </c>
      <c r="J102">
        <v>11.8115178173191</v>
      </c>
      <c r="K102">
        <v>-2.1336748747243601</v>
      </c>
      <c r="L102">
        <v>10.582248244604701</v>
      </c>
      <c r="M102">
        <v>12.4468143041723</v>
      </c>
      <c r="N102">
        <v>9.0041648763143893</v>
      </c>
      <c r="O102">
        <v>11.6064755715931</v>
      </c>
      <c r="P102">
        <v>8.8005533443792299</v>
      </c>
      <c r="Q102">
        <v>15.2929237479063</v>
      </c>
      <c r="R102">
        <v>1.65621693967526</v>
      </c>
      <c r="S102">
        <v>0.87822689486171901</v>
      </c>
      <c r="T102">
        <v>1.8746565099040799</v>
      </c>
      <c r="U102">
        <v>1.0242273269884099</v>
      </c>
      <c r="V102">
        <v>-2.65009943242358</v>
      </c>
      <c r="W102">
        <v>4.6985540864004101</v>
      </c>
      <c r="X102">
        <v>56</v>
      </c>
      <c r="Y102">
        <v>99</v>
      </c>
    </row>
    <row r="103" spans="1:25" x14ac:dyDescent="0.25">
      <c r="A103">
        <v>11131</v>
      </c>
      <c r="B103">
        <v>189</v>
      </c>
      <c r="C103" t="s">
        <v>75</v>
      </c>
      <c r="D103" s="11" t="s">
        <v>84</v>
      </c>
      <c r="E103" t="s">
        <v>133</v>
      </c>
      <c r="F103" t="s">
        <v>76</v>
      </c>
      <c r="G103" t="s">
        <v>78</v>
      </c>
      <c r="H103">
        <v>0.10582010582010599</v>
      </c>
      <c r="I103">
        <v>10.7486697012117</v>
      </c>
      <c r="J103">
        <v>11.8115178173191</v>
      </c>
      <c r="K103">
        <v>-2.8477704227929301</v>
      </c>
      <c r="L103">
        <v>5.4933990090833298</v>
      </c>
      <c r="M103">
        <v>6.4481438284783898</v>
      </c>
      <c r="N103">
        <v>4.5880538124757297</v>
      </c>
      <c r="O103">
        <v>6.6253386031911896</v>
      </c>
      <c r="P103">
        <v>4.8134746774286601</v>
      </c>
      <c r="Q103">
        <v>9.1860049930747305</v>
      </c>
      <c r="R103">
        <v>1.11544140705257</v>
      </c>
      <c r="S103">
        <v>0.47451275918435198</v>
      </c>
      <c r="T103">
        <v>1.21217650991766</v>
      </c>
      <c r="U103">
        <v>1.13193959410786</v>
      </c>
      <c r="V103">
        <v>-1.24392636533076</v>
      </c>
      <c r="W103">
        <v>3.50780555354648</v>
      </c>
      <c r="X103">
        <v>16</v>
      </c>
      <c r="Y103">
        <v>100</v>
      </c>
    </row>
    <row r="104" spans="1:25" x14ac:dyDescent="0.25">
      <c r="A104">
        <v>22221</v>
      </c>
      <c r="B104">
        <v>111</v>
      </c>
      <c r="C104" t="s">
        <v>83</v>
      </c>
      <c r="D104" s="11" t="s">
        <v>85</v>
      </c>
      <c r="E104" t="s">
        <v>132</v>
      </c>
      <c r="F104" t="s">
        <v>82</v>
      </c>
      <c r="G104" t="s">
        <v>78</v>
      </c>
      <c r="H104">
        <v>0.22522522522522501</v>
      </c>
      <c r="I104">
        <v>20.735011781030501</v>
      </c>
      <c r="J104">
        <v>11.8115178173191</v>
      </c>
      <c r="K104">
        <v>-1.4825324364249499</v>
      </c>
      <c r="L104">
        <v>18.466076839659799</v>
      </c>
      <c r="M104">
        <v>21.1902511140832</v>
      </c>
      <c r="N104">
        <v>15.888904988578901</v>
      </c>
      <c r="O104">
        <v>19.820077144237999</v>
      </c>
      <c r="P104">
        <v>15.087436277023301</v>
      </c>
      <c r="Q104">
        <v>25.096637547710401</v>
      </c>
      <c r="R104">
        <v>2.5533676710936399</v>
      </c>
      <c r="S104">
        <v>1.35238421568988</v>
      </c>
      <c r="T104">
        <v>2.8893995103885</v>
      </c>
      <c r="U104">
        <v>1.3540003045782201</v>
      </c>
      <c r="V104">
        <v>-4.30922273578323</v>
      </c>
      <c r="W104">
        <v>7.0172233449396799</v>
      </c>
      <c r="X104">
        <v>97</v>
      </c>
      <c r="Y104">
        <v>101</v>
      </c>
    </row>
    <row r="105" spans="1:25" x14ac:dyDescent="0.25">
      <c r="A105">
        <v>22252</v>
      </c>
      <c r="B105">
        <v>278</v>
      </c>
      <c r="C105" t="s">
        <v>83</v>
      </c>
      <c r="D105" s="11" t="s">
        <v>85</v>
      </c>
      <c r="E105" t="s">
        <v>135</v>
      </c>
      <c r="F105" t="s">
        <v>82</v>
      </c>
      <c r="G105" t="s">
        <v>79</v>
      </c>
      <c r="H105">
        <v>0.205035971223022</v>
      </c>
      <c r="I105">
        <v>19.848333986908099</v>
      </c>
      <c r="J105">
        <v>11.8115178173191</v>
      </c>
      <c r="K105">
        <v>-1.5392998519052601</v>
      </c>
      <c r="L105">
        <v>17.755450594292899</v>
      </c>
      <c r="M105">
        <v>20.4699991783469</v>
      </c>
      <c r="N105">
        <v>15.046957003303</v>
      </c>
      <c r="O105">
        <v>19.211252606657101</v>
      </c>
      <c r="P105">
        <v>15.1573725461805</v>
      </c>
      <c r="Q105">
        <v>24.170471692711399</v>
      </c>
      <c r="R105">
        <v>2.2992599863599099</v>
      </c>
      <c r="S105">
        <v>1.38342912628673</v>
      </c>
      <c r="T105">
        <v>2.6833696413901298</v>
      </c>
      <c r="U105">
        <v>1.4558020123641999</v>
      </c>
      <c r="V105">
        <v>-3.8036024847604701</v>
      </c>
      <c r="W105">
        <v>6.7152065094888602</v>
      </c>
      <c r="X105">
        <v>96</v>
      </c>
      <c r="Y105">
        <v>102</v>
      </c>
    </row>
    <row r="106" spans="1:25" x14ac:dyDescent="0.25">
      <c r="A106">
        <v>22122</v>
      </c>
      <c r="B106">
        <v>214</v>
      </c>
      <c r="C106" t="s">
        <v>83</v>
      </c>
      <c r="D106" s="11" t="s">
        <v>85</v>
      </c>
      <c r="E106" t="s">
        <v>132</v>
      </c>
      <c r="F106" t="s">
        <v>76</v>
      </c>
      <c r="G106" t="s">
        <v>79</v>
      </c>
      <c r="H106">
        <v>0.19626168224299101</v>
      </c>
      <c r="I106">
        <v>18.8624341366761</v>
      </c>
      <c r="J106">
        <v>11.8115178173191</v>
      </c>
      <c r="K106">
        <v>-1.6205471853939499</v>
      </c>
      <c r="L106">
        <v>16.478196400779598</v>
      </c>
      <c r="M106">
        <v>18.828981105353499</v>
      </c>
      <c r="N106">
        <v>14.2468582676425</v>
      </c>
      <c r="O106">
        <v>18.013212417016799</v>
      </c>
      <c r="P106">
        <v>13.9512248458177</v>
      </c>
      <c r="Q106">
        <v>22.736103322181901</v>
      </c>
      <c r="R106">
        <v>2.24104042764395</v>
      </c>
      <c r="S106">
        <v>1.1689088871711599</v>
      </c>
      <c r="T106">
        <v>2.5275700158140602</v>
      </c>
      <c r="U106">
        <v>1.53501601623713</v>
      </c>
      <c r="V106">
        <v>-3.41902121475843</v>
      </c>
      <c r="W106">
        <v>6.4890532472326798</v>
      </c>
      <c r="X106">
        <v>91</v>
      </c>
      <c r="Y106">
        <v>103</v>
      </c>
    </row>
    <row r="107" spans="1:25" x14ac:dyDescent="0.25">
      <c r="A107">
        <v>22132</v>
      </c>
      <c r="B107">
        <v>243</v>
      </c>
      <c r="C107" t="s">
        <v>83</v>
      </c>
      <c r="D107" s="11" t="s">
        <v>85</v>
      </c>
      <c r="E107" t="s">
        <v>133</v>
      </c>
      <c r="F107" t="s">
        <v>76</v>
      </c>
      <c r="G107" t="s">
        <v>79</v>
      </c>
      <c r="H107">
        <v>0.226337448559671</v>
      </c>
      <c r="I107">
        <v>21.7436711221251</v>
      </c>
      <c r="J107">
        <v>11.8115178173191</v>
      </c>
      <c r="K107">
        <v>-1.4555588394840699</v>
      </c>
      <c r="L107">
        <v>18.891993765979901</v>
      </c>
      <c r="M107">
        <v>21.458917115967001</v>
      </c>
      <c r="N107">
        <v>16.4284614029512</v>
      </c>
      <c r="O107">
        <v>20.748686391659799</v>
      </c>
      <c r="P107">
        <v>16.574370500473201</v>
      </c>
      <c r="Q107">
        <v>25.7667047464594</v>
      </c>
      <c r="R107">
        <v>2.3449832260168799</v>
      </c>
      <c r="S107">
        <v>1.28327951862648</v>
      </c>
      <c r="T107">
        <v>2.6731540646260501</v>
      </c>
      <c r="U107">
        <v>1.8566926256799501</v>
      </c>
      <c r="V107">
        <v>-3.3826893409870999</v>
      </c>
      <c r="W107">
        <v>7.0960745923470103</v>
      </c>
      <c r="X107">
        <v>100</v>
      </c>
      <c r="Y107">
        <v>104</v>
      </c>
    </row>
    <row r="108" spans="1:25" x14ac:dyDescent="0.25">
      <c r="A108">
        <v>22242</v>
      </c>
      <c r="B108">
        <v>83</v>
      </c>
      <c r="C108" t="s">
        <v>83</v>
      </c>
      <c r="D108" s="11" t="s">
        <v>85</v>
      </c>
      <c r="E108" t="s">
        <v>134</v>
      </c>
      <c r="F108" t="s">
        <v>82</v>
      </c>
      <c r="G108" t="s">
        <v>79</v>
      </c>
      <c r="H108">
        <v>0.30120481927710802</v>
      </c>
      <c r="I108">
        <v>26.571218838133799</v>
      </c>
      <c r="J108">
        <v>11.8115178173191</v>
      </c>
      <c r="K108">
        <v>-1.1892459845118899</v>
      </c>
      <c r="L108">
        <v>23.420363603779201</v>
      </c>
      <c r="M108">
        <v>27.248802285192699</v>
      </c>
      <c r="N108">
        <v>19.9130895983619</v>
      </c>
      <c r="O108">
        <v>25.364579940632499</v>
      </c>
      <c r="P108">
        <v>19.185000334070999</v>
      </c>
      <c r="Q108">
        <v>31.863798588425599</v>
      </c>
      <c r="R108">
        <v>3.2343873097843399</v>
      </c>
      <c r="S108">
        <v>1.87135527725274</v>
      </c>
      <c r="T108">
        <v>3.7367408049523201</v>
      </c>
      <c r="U108">
        <v>1.9442163368532801</v>
      </c>
      <c r="V108">
        <v>-5.3797956408532599</v>
      </c>
      <c r="W108">
        <v>9.2682283145598205</v>
      </c>
      <c r="X108">
        <v>105</v>
      </c>
      <c r="Y108">
        <v>105</v>
      </c>
    </row>
    <row r="109" spans="1:25" x14ac:dyDescent="0.25">
      <c r="A109">
        <v>22162</v>
      </c>
      <c r="B109">
        <v>170</v>
      </c>
      <c r="C109" t="s">
        <v>83</v>
      </c>
      <c r="D109" s="11" t="s">
        <v>85</v>
      </c>
      <c r="E109" t="s">
        <v>136</v>
      </c>
      <c r="F109" t="s">
        <v>76</v>
      </c>
      <c r="G109" t="s">
        <v>79</v>
      </c>
      <c r="H109">
        <v>0.22941176470588201</v>
      </c>
      <c r="I109">
        <v>21.675851443004198</v>
      </c>
      <c r="J109">
        <v>11.8115178173191</v>
      </c>
      <c r="K109">
        <v>-1.4742790767970999</v>
      </c>
      <c r="L109">
        <v>18.5843832914145</v>
      </c>
      <c r="M109">
        <v>21.359573258567799</v>
      </c>
      <c r="N109">
        <v>15.9026878853825</v>
      </c>
      <c r="O109">
        <v>20.618498265086401</v>
      </c>
      <c r="P109">
        <v>16.279510761569799</v>
      </c>
      <c r="Q109">
        <v>25.634431731532299</v>
      </c>
      <c r="R109">
        <v>2.3864594311128902</v>
      </c>
      <c r="S109">
        <v>1.39206259520033</v>
      </c>
      <c r="T109">
        <v>2.7627933120853498</v>
      </c>
      <c r="U109">
        <v>2.03411497367187</v>
      </c>
      <c r="V109">
        <v>-3.38095991801542</v>
      </c>
      <c r="W109">
        <v>7.4491898653591599</v>
      </c>
      <c r="X109">
        <v>99</v>
      </c>
      <c r="Y109">
        <v>106</v>
      </c>
    </row>
    <row r="110" spans="1:25" x14ac:dyDescent="0.25">
      <c r="A110">
        <v>22152</v>
      </c>
      <c r="B110">
        <v>201</v>
      </c>
      <c r="C110" t="s">
        <v>83</v>
      </c>
      <c r="D110" s="11" t="s">
        <v>85</v>
      </c>
      <c r="E110" t="s">
        <v>135</v>
      </c>
      <c r="F110" t="s">
        <v>76</v>
      </c>
      <c r="G110" t="s">
        <v>79</v>
      </c>
      <c r="H110">
        <v>0.18407960199005</v>
      </c>
      <c r="I110">
        <v>17.708719340803501</v>
      </c>
      <c r="J110">
        <v>11.8115178173191</v>
      </c>
      <c r="K110">
        <v>-1.98264412120547</v>
      </c>
      <c r="L110">
        <v>12.1083816013253</v>
      </c>
      <c r="M110">
        <v>14.181455174937099</v>
      </c>
      <c r="N110">
        <v>10.239001000512999</v>
      </c>
      <c r="O110">
        <v>14.567410997157699</v>
      </c>
      <c r="P110">
        <v>11.084446974238199</v>
      </c>
      <c r="Q110">
        <v>18.500354596865801</v>
      </c>
      <c r="R110">
        <v>1.8918131690376601</v>
      </c>
      <c r="S110">
        <v>1.0057281057204299</v>
      </c>
      <c r="T110">
        <v>2.1425326343326301</v>
      </c>
      <c r="U110">
        <v>2.4590293958323599</v>
      </c>
      <c r="V110">
        <v>-1.74033456745959</v>
      </c>
      <c r="W110">
        <v>6.6583933591243198</v>
      </c>
      <c r="X110">
        <v>78</v>
      </c>
      <c r="Y110">
        <v>107</v>
      </c>
    </row>
    <row r="111" spans="1:25" x14ac:dyDescent="0.25">
      <c r="A111">
        <v>22172</v>
      </c>
      <c r="B111">
        <v>197</v>
      </c>
      <c r="C111" t="s">
        <v>83</v>
      </c>
      <c r="D111" s="11" t="s">
        <v>85</v>
      </c>
      <c r="E111" t="s">
        <v>137</v>
      </c>
      <c r="F111" t="s">
        <v>76</v>
      </c>
      <c r="G111" t="s">
        <v>79</v>
      </c>
      <c r="H111">
        <v>0.32994923857868003</v>
      </c>
      <c r="I111">
        <v>31.1625962393904</v>
      </c>
      <c r="J111">
        <v>11.8115178173191</v>
      </c>
      <c r="K111">
        <v>-0.94763080264096999</v>
      </c>
      <c r="L111">
        <v>27.815026967706899</v>
      </c>
      <c r="M111">
        <v>31.355386049485102</v>
      </c>
      <c r="N111">
        <v>25.170590582177301</v>
      </c>
      <c r="O111">
        <v>30.567769484199601</v>
      </c>
      <c r="P111">
        <v>24.726605738715399</v>
      </c>
      <c r="Q111">
        <v>36.7942325881084</v>
      </c>
      <c r="R111">
        <v>3.0784762370900598</v>
      </c>
      <c r="S111">
        <v>1.57775394574179</v>
      </c>
      <c r="T111">
        <v>3.4592374095502501</v>
      </c>
      <c r="U111">
        <v>2.7527425164927002</v>
      </c>
      <c r="V111">
        <v>-4.0273628062258</v>
      </c>
      <c r="W111">
        <v>9.5328478392112004</v>
      </c>
      <c r="X111">
        <v>110</v>
      </c>
      <c r="Y111">
        <v>108</v>
      </c>
    </row>
    <row r="112" spans="1:25" x14ac:dyDescent="0.25">
      <c r="A112">
        <v>22262</v>
      </c>
      <c r="B112">
        <v>197</v>
      </c>
      <c r="C112" t="s">
        <v>83</v>
      </c>
      <c r="D112" s="11" t="s">
        <v>85</v>
      </c>
      <c r="E112" t="s">
        <v>136</v>
      </c>
      <c r="F112" t="s">
        <v>82</v>
      </c>
      <c r="G112" t="s">
        <v>79</v>
      </c>
      <c r="H112">
        <v>0.32487309644669998</v>
      </c>
      <c r="I112">
        <v>30.688382127569302</v>
      </c>
      <c r="J112">
        <v>11.8115178173191</v>
      </c>
      <c r="K112">
        <v>-1.03093480749688</v>
      </c>
      <c r="L112">
        <v>26.278690978314501</v>
      </c>
      <c r="M112">
        <v>29.924109444147401</v>
      </c>
      <c r="N112">
        <v>22.923872258244401</v>
      </c>
      <c r="O112">
        <v>29.2825173588414</v>
      </c>
      <c r="P112">
        <v>24.247716023879999</v>
      </c>
      <c r="Q112">
        <v>36.293808540865399</v>
      </c>
      <c r="R112">
        <v>3.0729827849452498</v>
      </c>
      <c r="S112">
        <v>1.7857747923221801</v>
      </c>
      <c r="T112">
        <v>3.5541827197631801</v>
      </c>
      <c r="U112">
        <v>3.0038263805269398</v>
      </c>
      <c r="V112">
        <v>-3.9623717502089</v>
      </c>
      <c r="W112">
        <v>9.9700245112627801</v>
      </c>
      <c r="X112">
        <v>109</v>
      </c>
      <c r="Y112">
        <v>109</v>
      </c>
    </row>
    <row r="113" spans="1:25" x14ac:dyDescent="0.25">
      <c r="A113">
        <v>21271</v>
      </c>
      <c r="B113">
        <v>268</v>
      </c>
      <c r="C113" t="s">
        <v>83</v>
      </c>
      <c r="D113" s="11" t="s">
        <v>84</v>
      </c>
      <c r="E113" t="s">
        <v>137</v>
      </c>
      <c r="F113" t="s">
        <v>82</v>
      </c>
      <c r="G113" t="s">
        <v>78</v>
      </c>
      <c r="H113">
        <v>0.29850746268656703</v>
      </c>
      <c r="I113">
        <v>28.637162698599699</v>
      </c>
      <c r="J113">
        <v>11.8115178173191</v>
      </c>
      <c r="K113">
        <v>-1.23710231872235</v>
      </c>
      <c r="L113">
        <v>22.487680968552699</v>
      </c>
      <c r="M113">
        <v>25.551052236466301</v>
      </c>
      <c r="N113">
        <v>19.8198033930435</v>
      </c>
      <c r="O113">
        <v>26.621945224666899</v>
      </c>
      <c r="P113">
        <v>22.1010569169113</v>
      </c>
      <c r="Q113">
        <v>31.9064839475895</v>
      </c>
      <c r="R113">
        <v>2.5013844466015902</v>
      </c>
      <c r="S113">
        <v>1.46205327638334</v>
      </c>
      <c r="T113">
        <v>2.8973304838564098</v>
      </c>
      <c r="U113">
        <v>4.1342642561141698</v>
      </c>
      <c r="V113">
        <v>-1.5445034922443901</v>
      </c>
      <c r="W113">
        <v>9.8130320044727295</v>
      </c>
      <c r="X113">
        <v>107</v>
      </c>
      <c r="Y113">
        <v>110</v>
      </c>
    </row>
    <row r="114" spans="1:25" x14ac:dyDescent="0.25">
      <c r="A114">
        <v>22271</v>
      </c>
      <c r="B114">
        <v>170</v>
      </c>
      <c r="C114" t="s">
        <v>83</v>
      </c>
      <c r="D114" s="11" t="s">
        <v>85</v>
      </c>
      <c r="E114" t="s">
        <v>137</v>
      </c>
      <c r="F114" t="s">
        <v>82</v>
      </c>
      <c r="G114" t="s">
        <v>78</v>
      </c>
      <c r="H114">
        <v>0.4</v>
      </c>
      <c r="I114">
        <v>37.393441364210702</v>
      </c>
      <c r="J114">
        <v>11.8115178173191</v>
      </c>
      <c r="K114">
        <v>-0.80961605367197298</v>
      </c>
      <c r="L114">
        <v>30.811501806409701</v>
      </c>
      <c r="M114">
        <v>34.384081692568699</v>
      </c>
      <c r="N114">
        <v>27.5993310994767</v>
      </c>
      <c r="O114">
        <v>35.422384337772698</v>
      </c>
      <c r="P114">
        <v>29.625557284627</v>
      </c>
      <c r="Q114">
        <v>41.851950053777898</v>
      </c>
      <c r="R114">
        <v>3.1189777472323801</v>
      </c>
      <c r="S114">
        <v>1.7308037227275299</v>
      </c>
      <c r="T114">
        <v>3.5670300972010698</v>
      </c>
      <c r="U114">
        <v>4.6108825313630204</v>
      </c>
      <c r="V114">
        <v>-2.38049645915107</v>
      </c>
      <c r="W114">
        <v>11.6022615218771</v>
      </c>
      <c r="X114">
        <v>111</v>
      </c>
      <c r="Y114">
        <v>111</v>
      </c>
    </row>
    <row r="115" spans="1:25" x14ac:dyDescent="0.25">
      <c r="A115">
        <v>11271</v>
      </c>
      <c r="B115">
        <v>251</v>
      </c>
      <c r="C115" t="s">
        <v>75</v>
      </c>
      <c r="D115" s="11" t="s">
        <v>84</v>
      </c>
      <c r="E115" t="s">
        <v>137</v>
      </c>
      <c r="F115" t="s">
        <v>82</v>
      </c>
      <c r="G115" t="s">
        <v>78</v>
      </c>
      <c r="H115">
        <v>0.23107569721115501</v>
      </c>
      <c r="I115">
        <v>22.213509815622199</v>
      </c>
      <c r="J115">
        <v>11.8115178173191</v>
      </c>
      <c r="K115">
        <v>-1.89649811664961</v>
      </c>
      <c r="L115">
        <v>13.129882786498101</v>
      </c>
      <c r="M115">
        <v>14.946137627894</v>
      </c>
      <c r="N115">
        <v>11.204850904448699</v>
      </c>
      <c r="O115">
        <v>17.803307727253699</v>
      </c>
      <c r="P115">
        <v>14.0432202866178</v>
      </c>
      <c r="Q115">
        <v>22.3222224947135</v>
      </c>
      <c r="R115">
        <v>2.11199035920807</v>
      </c>
      <c r="S115">
        <v>0.95440987842991498</v>
      </c>
      <c r="T115">
        <v>2.3176284200519399</v>
      </c>
      <c r="U115">
        <v>4.6734249407555204</v>
      </c>
      <c r="V115">
        <v>0.13087323745371901</v>
      </c>
      <c r="W115">
        <v>9.2159766440573208</v>
      </c>
      <c r="X115">
        <v>90</v>
      </c>
      <c r="Y115">
        <v>112</v>
      </c>
    </row>
  </sheetData>
  <sortState xmlns:xlrd2="http://schemas.microsoft.com/office/spreadsheetml/2017/richdata2" ref="A4:Y115">
    <sortCondition ref="Y3:Y115"/>
  </sortState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0B20D-E831-470D-8ADB-B4E338792727}">
  <dimension ref="A1:X113"/>
  <sheetViews>
    <sheetView topLeftCell="A94" workbookViewId="0">
      <selection activeCell="S2" sqref="S2"/>
    </sheetView>
  </sheetViews>
  <sheetFormatPr baseColWidth="10" defaultRowHeight="15" x14ac:dyDescent="0.25"/>
  <cols>
    <col min="1" max="1" width="9.5703125" customWidth="1"/>
    <col min="2" max="2" width="9.5703125" hidden="1" customWidth="1"/>
    <col min="3" max="4" width="9.5703125" customWidth="1"/>
    <col min="5" max="5" width="19.42578125" bestFit="1" customWidth="1"/>
    <col min="6" max="6" width="12.7109375" bestFit="1" customWidth="1"/>
    <col min="7" max="8" width="9.5703125" customWidth="1"/>
    <col min="9" max="15" width="9.5703125" hidden="1" customWidth="1"/>
    <col min="16" max="16" width="15.7109375" customWidth="1"/>
    <col min="17" max="18" width="13.28515625" customWidth="1"/>
    <col min="19" max="19" width="9.28515625" customWidth="1"/>
    <col min="20" max="20" width="11.5703125" customWidth="1"/>
    <col min="21" max="22" width="12.28515625" customWidth="1"/>
    <col min="23" max="23" width="14.28515625" customWidth="1"/>
  </cols>
  <sheetData>
    <row r="1" spans="1:24" x14ac:dyDescent="0.25">
      <c r="A1" t="s">
        <v>47</v>
      </c>
      <c r="B1" t="s">
        <v>48</v>
      </c>
      <c r="C1" t="s">
        <v>52</v>
      </c>
      <c r="D1" t="s">
        <v>53</v>
      </c>
      <c r="E1" t="s">
        <v>54</v>
      </c>
      <c r="F1" t="s">
        <v>130</v>
      </c>
      <c r="G1" t="s">
        <v>56</v>
      </c>
      <c r="H1" t="s">
        <v>57</v>
      </c>
      <c r="I1" t="s">
        <v>146</v>
      </c>
      <c r="J1" t="s">
        <v>147</v>
      </c>
      <c r="K1" t="s">
        <v>148</v>
      </c>
      <c r="L1" t="s">
        <v>149</v>
      </c>
      <c r="M1" t="s">
        <v>150</v>
      </c>
      <c r="N1" t="s">
        <v>151</v>
      </c>
      <c r="O1" t="s">
        <v>152</v>
      </c>
      <c r="P1" t="s">
        <v>156</v>
      </c>
      <c r="Q1" t="s">
        <v>154</v>
      </c>
      <c r="R1" t="s">
        <v>155</v>
      </c>
      <c r="S1" t="s">
        <v>153</v>
      </c>
      <c r="T1" t="s">
        <v>141</v>
      </c>
      <c r="U1" t="s">
        <v>142</v>
      </c>
      <c r="V1" t="s">
        <v>143</v>
      </c>
      <c r="W1" t="s">
        <v>144</v>
      </c>
    </row>
    <row r="2" spans="1:24" x14ac:dyDescent="0.25">
      <c r="A2">
        <v>11151</v>
      </c>
      <c r="B2">
        <v>148</v>
      </c>
      <c r="C2" t="s">
        <v>75</v>
      </c>
      <c r="D2" s="11" t="s">
        <v>84</v>
      </c>
      <c r="E2" t="s">
        <v>76</v>
      </c>
      <c r="F2" t="s">
        <v>135</v>
      </c>
      <c r="G2" t="s">
        <v>78</v>
      </c>
      <c r="H2" s="13">
        <v>2.0299999999999998</v>
      </c>
      <c r="I2" s="13">
        <v>-3.15</v>
      </c>
      <c r="J2" s="13">
        <v>-2.0099999999999998</v>
      </c>
      <c r="K2" s="13">
        <v>-3.42</v>
      </c>
      <c r="L2" s="13">
        <v>-3.37</v>
      </c>
      <c r="M2" s="13">
        <v>0.11</v>
      </c>
      <c r="N2" s="13">
        <v>0.16</v>
      </c>
      <c r="O2" s="13">
        <v>-0.05</v>
      </c>
      <c r="P2" s="13">
        <v>3.1594859999999998</v>
      </c>
      <c r="Q2" s="13">
        <v>2.204005</v>
      </c>
      <c r="R2" s="13">
        <v>4.5100829999999998</v>
      </c>
      <c r="S2" s="12">
        <v>1</v>
      </c>
      <c r="T2" s="13">
        <v>-8.3941799999999997E-2</v>
      </c>
      <c r="U2" s="13">
        <v>-1.1794309999999999</v>
      </c>
      <c r="V2" s="13">
        <v>1.2317739999999999</v>
      </c>
      <c r="W2">
        <v>45</v>
      </c>
      <c r="X2" s="11"/>
    </row>
    <row r="3" spans="1:24" x14ac:dyDescent="0.25">
      <c r="A3">
        <v>11111</v>
      </c>
      <c r="B3">
        <v>26</v>
      </c>
      <c r="C3" t="s">
        <v>75</v>
      </c>
      <c r="D3" s="11" t="s">
        <v>84</v>
      </c>
      <c r="E3" t="s">
        <v>76</v>
      </c>
      <c r="F3" t="s">
        <v>131</v>
      </c>
      <c r="G3" t="s">
        <v>78</v>
      </c>
      <c r="H3" s="13">
        <v>7.69</v>
      </c>
      <c r="I3" s="13">
        <v>-2.2400000000000002</v>
      </c>
      <c r="J3" s="13">
        <v>-2.0099999999999998</v>
      </c>
      <c r="K3" s="13">
        <v>-3.13</v>
      </c>
      <c r="L3" s="13">
        <v>-3.15</v>
      </c>
      <c r="M3" s="13">
        <v>0.14000000000000001</v>
      </c>
      <c r="N3" s="13">
        <v>0.16</v>
      </c>
      <c r="O3" s="13">
        <v>0.02</v>
      </c>
      <c r="P3" s="13">
        <v>4.2084229999999998</v>
      </c>
      <c r="Q3" s="13">
        <v>2.8094570000000001</v>
      </c>
      <c r="R3" s="13">
        <v>6.2591400000000004</v>
      </c>
      <c r="S3" s="12">
        <v>2</v>
      </c>
      <c r="T3" s="13">
        <v>0.18285370000000001</v>
      </c>
      <c r="U3" s="13">
        <v>-1.288211</v>
      </c>
      <c r="V3" s="13">
        <v>2.2287490000000001</v>
      </c>
      <c r="W3">
        <v>60</v>
      </c>
      <c r="X3" s="11"/>
    </row>
    <row r="4" spans="1:24" x14ac:dyDescent="0.25">
      <c r="A4">
        <v>11121</v>
      </c>
      <c r="B4">
        <v>91</v>
      </c>
      <c r="C4" t="s">
        <v>75</v>
      </c>
      <c r="D4" s="11" t="s">
        <v>84</v>
      </c>
      <c r="E4" t="s">
        <v>76</v>
      </c>
      <c r="F4" t="s">
        <v>132</v>
      </c>
      <c r="G4" t="s">
        <v>78</v>
      </c>
      <c r="H4" s="13">
        <v>3.3</v>
      </c>
      <c r="I4" s="13">
        <v>-2.82</v>
      </c>
      <c r="J4" s="13">
        <v>-2.0099999999999998</v>
      </c>
      <c r="K4" s="13">
        <v>-3.05</v>
      </c>
      <c r="L4" s="13">
        <v>-3.01</v>
      </c>
      <c r="M4" s="13">
        <v>0.1</v>
      </c>
      <c r="N4" s="13">
        <v>0.16</v>
      </c>
      <c r="O4" s="13">
        <v>-0.03</v>
      </c>
      <c r="P4" s="13">
        <v>4.5415890000000001</v>
      </c>
      <c r="Q4" s="13">
        <v>3.1884570000000001</v>
      </c>
      <c r="R4" s="13">
        <v>6.430822</v>
      </c>
      <c r="S4" s="12">
        <v>3</v>
      </c>
      <c r="T4" s="13">
        <v>-0.12625600000000001</v>
      </c>
      <c r="U4" s="13">
        <v>-1.4999530000000001</v>
      </c>
      <c r="V4" s="13">
        <v>1.5523100000000001</v>
      </c>
      <c r="W4">
        <v>42</v>
      </c>
      <c r="X4" s="11"/>
    </row>
    <row r="5" spans="1:24" x14ac:dyDescent="0.25">
      <c r="A5">
        <v>11152</v>
      </c>
      <c r="B5">
        <v>286</v>
      </c>
      <c r="C5" t="s">
        <v>75</v>
      </c>
      <c r="D5" s="11" t="s">
        <v>84</v>
      </c>
      <c r="E5" t="s">
        <v>76</v>
      </c>
      <c r="F5" t="s">
        <v>135</v>
      </c>
      <c r="G5" t="s">
        <v>79</v>
      </c>
      <c r="H5" s="13">
        <v>4.9000000000000004</v>
      </c>
      <c r="I5" s="13">
        <v>-2.82</v>
      </c>
      <c r="J5" s="13">
        <v>-2.0099999999999998</v>
      </c>
      <c r="K5" s="13">
        <v>-3.05</v>
      </c>
      <c r="L5" s="13">
        <v>-3.07</v>
      </c>
      <c r="M5" s="13">
        <v>0.1</v>
      </c>
      <c r="N5" s="13">
        <v>0.14000000000000001</v>
      </c>
      <c r="O5" s="13">
        <v>0.02</v>
      </c>
      <c r="P5" s="13">
        <v>4.5431990000000004</v>
      </c>
      <c r="Q5" s="13">
        <v>3.2784949999999999</v>
      </c>
      <c r="R5" s="13">
        <v>6.2641749999999998</v>
      </c>
      <c r="S5" s="12">
        <v>4</v>
      </c>
      <c r="T5" s="13">
        <v>0.1843243</v>
      </c>
      <c r="U5" s="13">
        <v>-1.19957</v>
      </c>
      <c r="V5" s="13">
        <v>1.8144119999999999</v>
      </c>
      <c r="W5">
        <v>61</v>
      </c>
      <c r="X5" s="11"/>
    </row>
    <row r="6" spans="1:24" x14ac:dyDescent="0.25">
      <c r="A6">
        <v>11141</v>
      </c>
      <c r="B6">
        <v>87</v>
      </c>
      <c r="C6" t="s">
        <v>75</v>
      </c>
      <c r="D6" s="11" t="s">
        <v>84</v>
      </c>
      <c r="E6" t="s">
        <v>76</v>
      </c>
      <c r="F6" t="s">
        <v>134</v>
      </c>
      <c r="G6" t="s">
        <v>78</v>
      </c>
      <c r="H6" s="13">
        <v>6.9</v>
      </c>
      <c r="I6" s="13">
        <v>-2.44</v>
      </c>
      <c r="J6" s="13">
        <v>-2.0099999999999998</v>
      </c>
      <c r="K6" s="13">
        <v>-2.98</v>
      </c>
      <c r="L6" s="13">
        <v>-3.02</v>
      </c>
      <c r="M6" s="13">
        <v>0.11</v>
      </c>
      <c r="N6" s="13">
        <v>0.16</v>
      </c>
      <c r="O6" s="13">
        <v>0.05</v>
      </c>
      <c r="P6" s="13">
        <v>4.8481030000000001</v>
      </c>
      <c r="Q6" s="13">
        <v>3.362441</v>
      </c>
      <c r="R6" s="13">
        <v>6.9430310000000004</v>
      </c>
      <c r="S6" s="12">
        <v>5</v>
      </c>
      <c r="T6" s="13">
        <v>0.28200360000000002</v>
      </c>
      <c r="U6" s="13">
        <v>-1.2877940000000001</v>
      </c>
      <c r="V6" s="13">
        <v>2.4073799999999999</v>
      </c>
      <c r="W6">
        <v>69</v>
      </c>
      <c r="X6" s="11"/>
    </row>
    <row r="7" spans="1:24" x14ac:dyDescent="0.25">
      <c r="A7">
        <v>12151</v>
      </c>
      <c r="B7">
        <v>100</v>
      </c>
      <c r="C7" t="s">
        <v>75</v>
      </c>
      <c r="D7" s="11" t="s">
        <v>85</v>
      </c>
      <c r="E7" t="s">
        <v>76</v>
      </c>
      <c r="F7" t="s">
        <v>135</v>
      </c>
      <c r="G7" t="s">
        <v>78</v>
      </c>
      <c r="H7" s="13">
        <v>4</v>
      </c>
      <c r="I7" s="13">
        <v>-2.76</v>
      </c>
      <c r="J7" s="13">
        <v>-2.0099999999999998</v>
      </c>
      <c r="K7" s="13">
        <v>-2.97</v>
      </c>
      <c r="L7" s="13">
        <v>-2.95</v>
      </c>
      <c r="M7" s="13">
        <v>0.1</v>
      </c>
      <c r="N7" s="13">
        <v>0.16</v>
      </c>
      <c r="O7" s="13">
        <v>-0.03</v>
      </c>
      <c r="P7" s="13">
        <v>4.867108</v>
      </c>
      <c r="Q7" s="13">
        <v>3.4164750000000002</v>
      </c>
      <c r="R7" s="13">
        <v>6.8897409999999999</v>
      </c>
      <c r="S7" s="12">
        <v>6</v>
      </c>
      <c r="T7" s="13">
        <v>-5.70448E-2</v>
      </c>
      <c r="U7" s="13">
        <v>-1.584832</v>
      </c>
      <c r="V7" s="13">
        <v>1.923861</v>
      </c>
      <c r="W7">
        <v>47</v>
      </c>
      <c r="X7" s="11"/>
    </row>
    <row r="8" spans="1:24" x14ac:dyDescent="0.25">
      <c r="A8">
        <v>11251</v>
      </c>
      <c r="B8">
        <v>184</v>
      </c>
      <c r="C8" t="s">
        <v>75</v>
      </c>
      <c r="D8" s="11" t="s">
        <v>84</v>
      </c>
      <c r="E8" t="s">
        <v>82</v>
      </c>
      <c r="F8" t="s">
        <v>135</v>
      </c>
      <c r="G8" t="s">
        <v>78</v>
      </c>
      <c r="H8" s="13">
        <v>5.98</v>
      </c>
      <c r="I8" s="13">
        <v>-2.62</v>
      </c>
      <c r="J8" s="13">
        <v>-2.0099999999999998</v>
      </c>
      <c r="K8" s="13">
        <v>-2.9</v>
      </c>
      <c r="L8" s="13">
        <v>-2.93</v>
      </c>
      <c r="M8" s="13">
        <v>0.1</v>
      </c>
      <c r="N8" s="13">
        <v>0.15</v>
      </c>
      <c r="O8" s="13">
        <v>0.04</v>
      </c>
      <c r="P8" s="13">
        <v>5.2339019999999996</v>
      </c>
      <c r="Q8" s="13">
        <v>3.7428569999999999</v>
      </c>
      <c r="R8" s="13">
        <v>7.2740470000000004</v>
      </c>
      <c r="S8" s="12">
        <v>7</v>
      </c>
      <c r="T8" s="13">
        <v>0.24809919999999999</v>
      </c>
      <c r="U8" s="13">
        <v>-1.417143</v>
      </c>
      <c r="V8" s="13">
        <v>2.3744879999999999</v>
      </c>
      <c r="W8">
        <v>66</v>
      </c>
      <c r="X8" s="11"/>
    </row>
    <row r="9" spans="1:24" x14ac:dyDescent="0.25">
      <c r="A9">
        <v>11161</v>
      </c>
      <c r="B9">
        <v>63</v>
      </c>
      <c r="C9" t="s">
        <v>75</v>
      </c>
      <c r="D9" s="11" t="s">
        <v>84</v>
      </c>
      <c r="E9" t="s">
        <v>76</v>
      </c>
      <c r="F9" t="s">
        <v>136</v>
      </c>
      <c r="G9" t="s">
        <v>78</v>
      </c>
      <c r="H9" s="13">
        <v>4.76</v>
      </c>
      <c r="I9" s="13">
        <v>-2.58</v>
      </c>
      <c r="J9" s="13">
        <v>-2.0099999999999998</v>
      </c>
      <c r="K9" s="13">
        <v>-2.88</v>
      </c>
      <c r="L9" s="13">
        <v>-2.87</v>
      </c>
      <c r="M9" s="13">
        <v>0.11</v>
      </c>
      <c r="N9" s="13">
        <v>0.16</v>
      </c>
      <c r="O9" s="13">
        <v>-0.01</v>
      </c>
      <c r="P9" s="13">
        <v>5.3285</v>
      </c>
      <c r="Q9" s="13">
        <v>3.7281369999999998</v>
      </c>
      <c r="R9" s="13">
        <v>7.5618840000000001</v>
      </c>
      <c r="S9" s="12">
        <v>8</v>
      </c>
      <c r="T9" s="13">
        <v>2.2966000000000002E-3</v>
      </c>
      <c r="U9" s="13">
        <v>-1.6414040000000001</v>
      </c>
      <c r="V9" s="13">
        <v>2.1886839999999999</v>
      </c>
      <c r="W9">
        <v>52</v>
      </c>
      <c r="X9" s="11"/>
    </row>
    <row r="10" spans="1:24" x14ac:dyDescent="0.25">
      <c r="A10">
        <v>21151</v>
      </c>
      <c r="B10">
        <v>133</v>
      </c>
      <c r="C10" t="s">
        <v>83</v>
      </c>
      <c r="D10" s="11" t="s">
        <v>84</v>
      </c>
      <c r="E10" t="s">
        <v>76</v>
      </c>
      <c r="F10" t="s">
        <v>135</v>
      </c>
      <c r="G10" t="s">
        <v>78</v>
      </c>
      <c r="H10" s="13">
        <v>3.01</v>
      </c>
      <c r="I10" s="13">
        <v>-2.97</v>
      </c>
      <c r="J10" s="13">
        <v>-2.0099999999999998</v>
      </c>
      <c r="K10" s="13">
        <v>-2.81</v>
      </c>
      <c r="L10" s="13">
        <v>-2.72</v>
      </c>
      <c r="M10" s="13">
        <v>0.1</v>
      </c>
      <c r="N10" s="13">
        <v>0.15</v>
      </c>
      <c r="O10" s="13">
        <v>-0.1</v>
      </c>
      <c r="P10" s="13">
        <v>5.6536879999999998</v>
      </c>
      <c r="Q10" s="13">
        <v>4.0160619999999998</v>
      </c>
      <c r="R10" s="13">
        <v>7.904096</v>
      </c>
      <c r="S10" s="12">
        <v>9</v>
      </c>
      <c r="T10" s="13">
        <v>-0.44208069999999999</v>
      </c>
      <c r="U10" s="13">
        <v>-2.122493</v>
      </c>
      <c r="V10" s="13">
        <v>1.6771130000000001</v>
      </c>
      <c r="W10">
        <v>26</v>
      </c>
      <c r="X10" s="11"/>
    </row>
    <row r="11" spans="1:24" x14ac:dyDescent="0.25">
      <c r="A11">
        <v>11112</v>
      </c>
      <c r="B11">
        <v>58</v>
      </c>
      <c r="C11" t="s">
        <v>75</v>
      </c>
      <c r="D11" s="11" t="s">
        <v>84</v>
      </c>
      <c r="E11" t="s">
        <v>76</v>
      </c>
      <c r="F11" t="s">
        <v>131</v>
      </c>
      <c r="G11" t="s">
        <v>79</v>
      </c>
      <c r="H11" s="13">
        <v>8.6199999999999992</v>
      </c>
      <c r="I11" s="13">
        <v>-2.2599999999999998</v>
      </c>
      <c r="J11" s="13">
        <v>-2.0099999999999998</v>
      </c>
      <c r="K11" s="13">
        <v>-2.8</v>
      </c>
      <c r="L11" s="13">
        <v>-2.84</v>
      </c>
      <c r="M11" s="13">
        <v>0.13</v>
      </c>
      <c r="N11" s="13">
        <v>0.16</v>
      </c>
      <c r="O11" s="13">
        <v>0.05</v>
      </c>
      <c r="P11" s="13">
        <v>5.7367080000000001</v>
      </c>
      <c r="Q11" s="13">
        <v>3.9081929999999998</v>
      </c>
      <c r="R11" s="13">
        <v>8.3464179999999999</v>
      </c>
      <c r="S11" s="12">
        <v>10</v>
      </c>
      <c r="T11" s="13">
        <v>0.38637480000000002</v>
      </c>
      <c r="U11" s="13">
        <v>-1.6283890000000001</v>
      </c>
      <c r="V11" s="13">
        <v>2.8562460000000001</v>
      </c>
      <c r="W11">
        <v>74</v>
      </c>
      <c r="X11" s="11"/>
    </row>
    <row r="12" spans="1:24" x14ac:dyDescent="0.25">
      <c r="A12">
        <v>11122</v>
      </c>
      <c r="B12">
        <v>285</v>
      </c>
      <c r="C12" t="s">
        <v>75</v>
      </c>
      <c r="D12" s="11" t="s">
        <v>84</v>
      </c>
      <c r="E12" t="s">
        <v>76</v>
      </c>
      <c r="F12" t="s">
        <v>132</v>
      </c>
      <c r="G12" t="s">
        <v>79</v>
      </c>
      <c r="H12" s="13">
        <v>5.96</v>
      </c>
      <c r="I12" s="13">
        <v>-2.66</v>
      </c>
      <c r="J12" s="13">
        <v>-2.0099999999999998</v>
      </c>
      <c r="K12" s="13">
        <v>-2.73</v>
      </c>
      <c r="L12" s="13">
        <v>-2.71</v>
      </c>
      <c r="M12" s="13">
        <v>0.09</v>
      </c>
      <c r="N12" s="13">
        <v>0.14000000000000001</v>
      </c>
      <c r="O12" s="13">
        <v>-0.02</v>
      </c>
      <c r="P12" s="13">
        <v>6.1473449999999996</v>
      </c>
      <c r="Q12" s="13">
        <v>4.5139990000000001</v>
      </c>
      <c r="R12" s="13">
        <v>8.3202029999999993</v>
      </c>
      <c r="S12" s="12">
        <v>11</v>
      </c>
      <c r="T12" s="13">
        <v>-1.01782E-2</v>
      </c>
      <c r="U12" s="13">
        <v>-1.6680889999999999</v>
      </c>
      <c r="V12" s="13">
        <v>2.0870739999999999</v>
      </c>
      <c r="W12">
        <v>49</v>
      </c>
      <c r="X12" s="11"/>
    </row>
    <row r="13" spans="1:24" x14ac:dyDescent="0.25">
      <c r="A13">
        <v>12111</v>
      </c>
      <c r="B13">
        <v>17</v>
      </c>
      <c r="C13" t="s">
        <v>75</v>
      </c>
      <c r="D13" s="11" t="s">
        <v>85</v>
      </c>
      <c r="E13" t="s">
        <v>76</v>
      </c>
      <c r="F13" t="s">
        <v>131</v>
      </c>
      <c r="G13" t="s">
        <v>78</v>
      </c>
      <c r="H13" s="13">
        <v>11.76</v>
      </c>
      <c r="I13" s="13">
        <v>-2.04</v>
      </c>
      <c r="J13" s="13">
        <v>-2.0099999999999998</v>
      </c>
      <c r="K13" s="13">
        <v>-2.7</v>
      </c>
      <c r="L13" s="13">
        <v>-2.72</v>
      </c>
      <c r="M13" s="13">
        <v>0.14000000000000001</v>
      </c>
      <c r="N13" s="13">
        <v>0.16</v>
      </c>
      <c r="O13" s="13">
        <v>0.03</v>
      </c>
      <c r="P13" s="13">
        <v>6.3152889999999999</v>
      </c>
      <c r="Q13" s="13">
        <v>4.248291</v>
      </c>
      <c r="R13" s="13">
        <v>9.2904009999999992</v>
      </c>
      <c r="S13" s="12">
        <v>12</v>
      </c>
      <c r="T13" s="13">
        <v>0.240124</v>
      </c>
      <c r="U13" s="13">
        <v>-2.0128180000000002</v>
      </c>
      <c r="V13" s="13">
        <v>2.8808199999999999</v>
      </c>
      <c r="W13">
        <v>65</v>
      </c>
      <c r="X13" s="11"/>
    </row>
    <row r="14" spans="1:24" x14ac:dyDescent="0.25">
      <c r="A14">
        <v>12121</v>
      </c>
      <c r="B14">
        <v>78</v>
      </c>
      <c r="C14" t="s">
        <v>75</v>
      </c>
      <c r="D14" s="11" t="s">
        <v>85</v>
      </c>
      <c r="E14" t="s">
        <v>76</v>
      </c>
      <c r="F14" t="s">
        <v>132</v>
      </c>
      <c r="G14" t="s">
        <v>78</v>
      </c>
      <c r="H14" s="13">
        <v>2.56</v>
      </c>
      <c r="I14" s="13">
        <v>-2.86</v>
      </c>
      <c r="J14" s="13">
        <v>-2.0099999999999998</v>
      </c>
      <c r="K14" s="13">
        <v>-2.67</v>
      </c>
      <c r="L14" s="13">
        <v>-2.59</v>
      </c>
      <c r="M14" s="13">
        <v>0.1</v>
      </c>
      <c r="N14" s="13">
        <v>0.16</v>
      </c>
      <c r="O14" s="13">
        <v>-0.09</v>
      </c>
      <c r="P14" s="13">
        <v>6.4713039999999999</v>
      </c>
      <c r="Q14" s="13">
        <v>4.5837139999999996</v>
      </c>
      <c r="R14" s="13">
        <v>9.0623869999999993</v>
      </c>
      <c r="S14" s="12">
        <v>13</v>
      </c>
      <c r="T14" s="13">
        <v>-0.44813520000000001</v>
      </c>
      <c r="U14" s="13">
        <v>-2.4445480000000002</v>
      </c>
      <c r="V14" s="13">
        <v>1.9419569999999999</v>
      </c>
      <c r="W14">
        <v>25</v>
      </c>
      <c r="X14" s="11"/>
    </row>
    <row r="15" spans="1:24" x14ac:dyDescent="0.25">
      <c r="A15">
        <v>11252</v>
      </c>
      <c r="B15">
        <v>314</v>
      </c>
      <c r="C15" t="s">
        <v>75</v>
      </c>
      <c r="D15" s="11" t="s">
        <v>84</v>
      </c>
      <c r="E15" t="s">
        <v>82</v>
      </c>
      <c r="F15" t="s">
        <v>135</v>
      </c>
      <c r="G15" t="s">
        <v>79</v>
      </c>
      <c r="H15" s="13">
        <v>6.05</v>
      </c>
      <c r="I15" s="13">
        <v>-2.66</v>
      </c>
      <c r="J15" s="13">
        <v>-2.0099999999999998</v>
      </c>
      <c r="K15" s="13">
        <v>-2.67</v>
      </c>
      <c r="L15" s="13">
        <v>-2.63</v>
      </c>
      <c r="M15" s="13">
        <v>0.09</v>
      </c>
      <c r="N15" s="13">
        <v>0.13</v>
      </c>
      <c r="O15" s="13">
        <v>-0.04</v>
      </c>
      <c r="P15" s="13">
        <v>6.4875230000000004</v>
      </c>
      <c r="Q15" s="13">
        <v>4.7887409999999999</v>
      </c>
      <c r="R15" s="13">
        <v>8.733663</v>
      </c>
      <c r="S15" s="12">
        <v>14</v>
      </c>
      <c r="T15" s="13">
        <v>-0.18659249999999999</v>
      </c>
      <c r="U15" s="13">
        <v>-1.937252</v>
      </c>
      <c r="V15" s="13">
        <v>1.9647790000000001</v>
      </c>
      <c r="W15">
        <v>39</v>
      </c>
      <c r="X15" s="11"/>
    </row>
    <row r="16" spans="1:24" x14ac:dyDescent="0.25">
      <c r="A16">
        <v>11142</v>
      </c>
      <c r="B16">
        <v>153</v>
      </c>
      <c r="C16" t="s">
        <v>75</v>
      </c>
      <c r="D16" s="11" t="s">
        <v>84</v>
      </c>
      <c r="E16" t="s">
        <v>76</v>
      </c>
      <c r="F16" t="s">
        <v>134</v>
      </c>
      <c r="G16" t="s">
        <v>79</v>
      </c>
      <c r="H16" s="13">
        <v>7.84</v>
      </c>
      <c r="I16" s="13">
        <v>-2.39</v>
      </c>
      <c r="J16" s="13">
        <v>-2.0099999999999998</v>
      </c>
      <c r="K16" s="13">
        <v>-2.67</v>
      </c>
      <c r="L16" s="13">
        <v>-2.72</v>
      </c>
      <c r="M16" s="13">
        <v>0.11</v>
      </c>
      <c r="N16" s="13">
        <v>0.15</v>
      </c>
      <c r="O16" s="13">
        <v>0.05</v>
      </c>
      <c r="P16" s="13">
        <v>6.5044839999999997</v>
      </c>
      <c r="Q16" s="13">
        <v>4.632568</v>
      </c>
      <c r="R16" s="13">
        <v>9.0609300000000008</v>
      </c>
      <c r="S16" s="12">
        <v>15</v>
      </c>
      <c r="T16" s="13">
        <v>0.41736420000000002</v>
      </c>
      <c r="U16" s="13">
        <v>-1.5940380000000001</v>
      </c>
      <c r="V16" s="13">
        <v>2.8639779999999999</v>
      </c>
      <c r="W16">
        <v>77</v>
      </c>
      <c r="X16" s="11"/>
    </row>
    <row r="17" spans="1:24" x14ac:dyDescent="0.25">
      <c r="A17">
        <v>11131</v>
      </c>
      <c r="B17">
        <v>189</v>
      </c>
      <c r="C17" t="s">
        <v>75</v>
      </c>
      <c r="D17" s="11" t="s">
        <v>84</v>
      </c>
      <c r="E17" t="s">
        <v>76</v>
      </c>
      <c r="F17" t="s">
        <v>133</v>
      </c>
      <c r="G17" t="s">
        <v>78</v>
      </c>
      <c r="H17" s="13">
        <v>10.58</v>
      </c>
      <c r="I17" s="13">
        <v>-2.13</v>
      </c>
      <c r="J17" s="13">
        <v>-2.0099999999999998</v>
      </c>
      <c r="K17" s="13">
        <v>-2.64</v>
      </c>
      <c r="L17" s="13">
        <v>-2.85</v>
      </c>
      <c r="M17" s="13">
        <v>0.09</v>
      </c>
      <c r="N17" s="13">
        <v>0.14000000000000001</v>
      </c>
      <c r="O17" s="13">
        <v>0.2</v>
      </c>
      <c r="P17" s="13">
        <v>6.6319169999999996</v>
      </c>
      <c r="Q17" s="13">
        <v>4.8334190000000001</v>
      </c>
      <c r="R17" s="13">
        <v>9.0360829999999996</v>
      </c>
      <c r="S17" s="12">
        <v>16</v>
      </c>
      <c r="T17" s="13">
        <v>1.242731</v>
      </c>
      <c r="U17" s="13">
        <v>-0.65794109999999995</v>
      </c>
      <c r="V17" s="13">
        <v>3.7134239999999998</v>
      </c>
      <c r="W17">
        <v>100</v>
      </c>
      <c r="X17" s="11"/>
    </row>
    <row r="18" spans="1:24" x14ac:dyDescent="0.25">
      <c r="A18">
        <v>11211</v>
      </c>
      <c r="B18">
        <v>62</v>
      </c>
      <c r="C18" t="s">
        <v>75</v>
      </c>
      <c r="D18" s="11" t="s">
        <v>84</v>
      </c>
      <c r="E18" t="s">
        <v>82</v>
      </c>
      <c r="F18" t="s">
        <v>131</v>
      </c>
      <c r="G18" t="s">
        <v>78</v>
      </c>
      <c r="H18" s="13">
        <v>11.29</v>
      </c>
      <c r="I18" s="13">
        <v>-2.0699999999999998</v>
      </c>
      <c r="J18" s="13">
        <v>-2.0099999999999998</v>
      </c>
      <c r="K18" s="13">
        <v>-2.63</v>
      </c>
      <c r="L18" s="13">
        <v>-2.71</v>
      </c>
      <c r="M18" s="13">
        <v>0.13</v>
      </c>
      <c r="N18" s="13">
        <v>0.16</v>
      </c>
      <c r="O18" s="13">
        <v>0.08</v>
      </c>
      <c r="P18" s="13">
        <v>6.7269160000000001</v>
      </c>
      <c r="Q18" s="13">
        <v>4.6043669999999999</v>
      </c>
      <c r="R18" s="13">
        <v>9.7281479999999991</v>
      </c>
      <c r="S18" s="12">
        <v>17</v>
      </c>
      <c r="T18" s="13">
        <v>0.6099369</v>
      </c>
      <c r="U18" s="13">
        <v>-1.626112</v>
      </c>
      <c r="V18" s="13">
        <v>3.4986809999999999</v>
      </c>
      <c r="W18">
        <v>87</v>
      </c>
      <c r="X18" s="11"/>
    </row>
    <row r="19" spans="1:24" x14ac:dyDescent="0.25">
      <c r="A19">
        <v>12152</v>
      </c>
      <c r="B19">
        <v>244</v>
      </c>
      <c r="C19" t="s">
        <v>75</v>
      </c>
      <c r="D19" s="11" t="s">
        <v>85</v>
      </c>
      <c r="E19" t="s">
        <v>76</v>
      </c>
      <c r="F19" t="s">
        <v>135</v>
      </c>
      <c r="G19" t="s">
        <v>79</v>
      </c>
      <c r="H19" s="13">
        <v>7.38</v>
      </c>
      <c r="I19" s="13">
        <v>-2.4700000000000002</v>
      </c>
      <c r="J19" s="13">
        <v>-2.0099999999999998</v>
      </c>
      <c r="K19" s="13">
        <v>-2.61</v>
      </c>
      <c r="L19" s="13">
        <v>-2.64</v>
      </c>
      <c r="M19" s="13">
        <v>0.1</v>
      </c>
      <c r="N19" s="13">
        <v>0.14000000000000001</v>
      </c>
      <c r="O19" s="13">
        <v>0.03</v>
      </c>
      <c r="P19" s="13">
        <v>6.8490489999999999</v>
      </c>
      <c r="Q19" s="13">
        <v>5.0164260000000001</v>
      </c>
      <c r="R19" s="13">
        <v>9.2857260000000004</v>
      </c>
      <c r="S19" s="12">
        <v>18</v>
      </c>
      <c r="T19" s="13">
        <v>0.29215849999999999</v>
      </c>
      <c r="U19" s="13">
        <v>-1.5893759999999999</v>
      </c>
      <c r="V19" s="13">
        <v>2.4762599999999999</v>
      </c>
      <c r="W19">
        <v>71</v>
      </c>
      <c r="X19" s="11"/>
    </row>
    <row r="20" spans="1:24" x14ac:dyDescent="0.25">
      <c r="A20">
        <v>11241</v>
      </c>
      <c r="B20">
        <v>87</v>
      </c>
      <c r="C20" t="s">
        <v>75</v>
      </c>
      <c r="D20" s="11" t="s">
        <v>84</v>
      </c>
      <c r="E20" t="s">
        <v>82</v>
      </c>
      <c r="F20" t="s">
        <v>134</v>
      </c>
      <c r="G20" t="s">
        <v>78</v>
      </c>
      <c r="H20" s="13">
        <v>5.75</v>
      </c>
      <c r="I20" s="13">
        <v>-2.5499999999999998</v>
      </c>
      <c r="J20" s="13">
        <v>-2.0099999999999998</v>
      </c>
      <c r="K20" s="13">
        <v>-2.61</v>
      </c>
      <c r="L20" s="13">
        <v>-2.58</v>
      </c>
      <c r="M20" s="13">
        <v>0.11</v>
      </c>
      <c r="N20" s="13">
        <v>0.15</v>
      </c>
      <c r="O20" s="13">
        <v>-0.03</v>
      </c>
      <c r="P20" s="13">
        <v>6.852449</v>
      </c>
      <c r="Q20" s="13">
        <v>4.8178179999999999</v>
      </c>
      <c r="R20" s="13">
        <v>9.6591380000000004</v>
      </c>
      <c r="S20" s="12">
        <v>19</v>
      </c>
      <c r="T20" s="13">
        <v>-7.2738800000000006E-2</v>
      </c>
      <c r="U20" s="13">
        <v>-2.2276560000000001</v>
      </c>
      <c r="V20" s="13">
        <v>2.5073180000000002</v>
      </c>
      <c r="W20">
        <v>46</v>
      </c>
      <c r="X20" s="11"/>
    </row>
    <row r="21" spans="1:24" x14ac:dyDescent="0.25">
      <c r="A21">
        <v>12251</v>
      </c>
      <c r="B21">
        <v>132</v>
      </c>
      <c r="C21" t="s">
        <v>75</v>
      </c>
      <c r="D21" s="11" t="s">
        <v>85</v>
      </c>
      <c r="E21" t="s">
        <v>82</v>
      </c>
      <c r="F21" t="s">
        <v>135</v>
      </c>
      <c r="G21" t="s">
        <v>78</v>
      </c>
      <c r="H21" s="13">
        <v>4.55</v>
      </c>
      <c r="I21" s="13">
        <v>-2.76</v>
      </c>
      <c r="J21" s="13">
        <v>-2.0099999999999998</v>
      </c>
      <c r="K21" s="13">
        <v>-2.59</v>
      </c>
      <c r="L21" s="13">
        <v>-2.5</v>
      </c>
      <c r="M21" s="13">
        <v>0.1</v>
      </c>
      <c r="N21" s="13">
        <v>0.15</v>
      </c>
      <c r="O21" s="13">
        <v>-0.09</v>
      </c>
      <c r="P21" s="13">
        <v>6.9524840000000001</v>
      </c>
      <c r="Q21" s="13">
        <v>4.9910180000000004</v>
      </c>
      <c r="R21" s="13">
        <v>9.6068569999999998</v>
      </c>
      <c r="S21" s="12">
        <v>20</v>
      </c>
      <c r="T21" s="13">
        <v>-0.46530569999999999</v>
      </c>
      <c r="U21" s="13">
        <v>-2.5396390000000002</v>
      </c>
      <c r="V21" s="13">
        <v>2.0272160000000001</v>
      </c>
      <c r="W21">
        <v>23</v>
      </c>
      <c r="X21" s="11"/>
    </row>
    <row r="22" spans="1:24" x14ac:dyDescent="0.25">
      <c r="A22">
        <v>12141</v>
      </c>
      <c r="B22">
        <v>78</v>
      </c>
      <c r="C22" t="s">
        <v>75</v>
      </c>
      <c r="D22" s="11" t="s">
        <v>85</v>
      </c>
      <c r="E22" t="s">
        <v>76</v>
      </c>
      <c r="F22" t="s">
        <v>134</v>
      </c>
      <c r="G22" t="s">
        <v>78</v>
      </c>
      <c r="H22" s="13">
        <v>7.69</v>
      </c>
      <c r="I22" s="13">
        <v>-2.36</v>
      </c>
      <c r="J22" s="13">
        <v>-2.0099999999999998</v>
      </c>
      <c r="K22" s="13">
        <v>-2.58</v>
      </c>
      <c r="L22" s="13">
        <v>-2.6</v>
      </c>
      <c r="M22" s="13">
        <v>0.11</v>
      </c>
      <c r="N22" s="13">
        <v>0.16</v>
      </c>
      <c r="O22" s="13">
        <v>0.01</v>
      </c>
      <c r="P22" s="13">
        <v>7.0161540000000002</v>
      </c>
      <c r="Q22" s="13">
        <v>4.914002</v>
      </c>
      <c r="R22" s="13">
        <v>9.9237260000000003</v>
      </c>
      <c r="S22" s="12">
        <v>21</v>
      </c>
      <c r="T22" s="13">
        <v>0.20905409999999999</v>
      </c>
      <c r="U22" s="13">
        <v>-1.964432</v>
      </c>
      <c r="V22" s="13">
        <v>2.8596789999999999</v>
      </c>
      <c r="W22">
        <v>62</v>
      </c>
      <c r="X22" s="11"/>
    </row>
    <row r="23" spans="1:24" x14ac:dyDescent="0.25">
      <c r="A23">
        <v>11162</v>
      </c>
      <c r="B23">
        <v>246</v>
      </c>
      <c r="C23" t="s">
        <v>75</v>
      </c>
      <c r="D23" s="11" t="s">
        <v>84</v>
      </c>
      <c r="E23" t="s">
        <v>76</v>
      </c>
      <c r="F23" t="s">
        <v>136</v>
      </c>
      <c r="G23" t="s">
        <v>79</v>
      </c>
      <c r="H23" s="13">
        <v>6.91</v>
      </c>
      <c r="I23" s="13">
        <v>-2.5299999999999998</v>
      </c>
      <c r="J23" s="13">
        <v>-2.0099999999999998</v>
      </c>
      <c r="K23" s="13">
        <v>-2.58</v>
      </c>
      <c r="L23" s="13">
        <v>-2.56</v>
      </c>
      <c r="M23" s="13">
        <v>0.1</v>
      </c>
      <c r="N23" s="13">
        <v>0.14000000000000001</v>
      </c>
      <c r="O23" s="13">
        <v>-0.01</v>
      </c>
      <c r="P23" s="13">
        <v>7.0715680000000001</v>
      </c>
      <c r="Q23" s="13">
        <v>5.1903569999999997</v>
      </c>
      <c r="R23" s="13">
        <v>9.5658180000000002</v>
      </c>
      <c r="S23" s="12">
        <v>22</v>
      </c>
      <c r="T23" s="13">
        <v>-1.6849200000000002E-2</v>
      </c>
      <c r="U23" s="13">
        <v>-1.8655390000000001</v>
      </c>
      <c r="V23" s="13">
        <v>2.4355449999999998</v>
      </c>
      <c r="W23">
        <v>48</v>
      </c>
      <c r="X23" s="11"/>
    </row>
    <row r="24" spans="1:24" x14ac:dyDescent="0.25">
      <c r="A24">
        <v>21111</v>
      </c>
      <c r="B24">
        <v>31</v>
      </c>
      <c r="C24" t="s">
        <v>83</v>
      </c>
      <c r="D24" s="11" t="s">
        <v>84</v>
      </c>
      <c r="E24" t="s">
        <v>76</v>
      </c>
      <c r="F24" t="s">
        <v>131</v>
      </c>
      <c r="G24" t="s">
        <v>78</v>
      </c>
      <c r="H24" s="13">
        <v>3.23</v>
      </c>
      <c r="I24" s="13">
        <v>-2.52</v>
      </c>
      <c r="J24" s="13">
        <v>-2.0099999999999998</v>
      </c>
      <c r="K24" s="13">
        <v>-2.5299999999999998</v>
      </c>
      <c r="L24" s="13">
        <v>-2.4900000000000002</v>
      </c>
      <c r="M24" s="13">
        <v>0.13</v>
      </c>
      <c r="N24" s="13">
        <v>0.16</v>
      </c>
      <c r="O24" s="13">
        <v>-0.04</v>
      </c>
      <c r="P24" s="13">
        <v>7.4009419999999997</v>
      </c>
      <c r="Q24" s="13">
        <v>5.0255679999999998</v>
      </c>
      <c r="R24" s="13">
        <v>10.77172</v>
      </c>
      <c r="S24" s="12">
        <v>23</v>
      </c>
      <c r="T24" s="13">
        <v>-0.2252683</v>
      </c>
      <c r="U24" s="13">
        <v>-2.702979</v>
      </c>
      <c r="V24" s="13">
        <v>2.983733</v>
      </c>
      <c r="W24">
        <v>37</v>
      </c>
      <c r="X24" s="11"/>
    </row>
    <row r="25" spans="1:24" x14ac:dyDescent="0.25">
      <c r="A25">
        <v>11261</v>
      </c>
      <c r="B25">
        <v>114</v>
      </c>
      <c r="C25" t="s">
        <v>75</v>
      </c>
      <c r="D25" s="11" t="s">
        <v>84</v>
      </c>
      <c r="E25" t="s">
        <v>82</v>
      </c>
      <c r="F25" t="s">
        <v>136</v>
      </c>
      <c r="G25" t="s">
        <v>78</v>
      </c>
      <c r="H25" s="13">
        <v>5.26</v>
      </c>
      <c r="I25" s="13">
        <v>-2.64</v>
      </c>
      <c r="J25" s="13">
        <v>-2.0099999999999998</v>
      </c>
      <c r="K25" s="13">
        <v>-2.5</v>
      </c>
      <c r="L25" s="13">
        <v>-2.42</v>
      </c>
      <c r="M25" s="13">
        <v>0.1</v>
      </c>
      <c r="N25" s="13">
        <v>0.15</v>
      </c>
      <c r="O25" s="13">
        <v>-0.08</v>
      </c>
      <c r="P25" s="13">
        <v>7.5954980000000001</v>
      </c>
      <c r="Q25" s="13">
        <v>5.4568519999999996</v>
      </c>
      <c r="R25" s="13">
        <v>10.47941</v>
      </c>
      <c r="S25" s="12">
        <v>24</v>
      </c>
      <c r="T25" s="13">
        <v>-0.42284830000000001</v>
      </c>
      <c r="U25" s="13">
        <v>-2.7601939999999998</v>
      </c>
      <c r="V25" s="13">
        <v>2.3663340000000002</v>
      </c>
      <c r="W25">
        <v>27</v>
      </c>
      <c r="X25" s="11"/>
    </row>
    <row r="26" spans="1:24" x14ac:dyDescent="0.25">
      <c r="A26">
        <v>12131</v>
      </c>
      <c r="B26">
        <v>155</v>
      </c>
      <c r="C26" t="s">
        <v>75</v>
      </c>
      <c r="D26" s="11" t="s">
        <v>85</v>
      </c>
      <c r="E26" t="s">
        <v>76</v>
      </c>
      <c r="F26" t="s">
        <v>133</v>
      </c>
      <c r="G26" t="s">
        <v>78</v>
      </c>
      <c r="H26" s="13">
        <v>6.45</v>
      </c>
      <c r="I26" s="13">
        <v>-2.5499999999999998</v>
      </c>
      <c r="J26" s="13">
        <v>-2.0099999999999998</v>
      </c>
      <c r="K26" s="13">
        <v>-2.48</v>
      </c>
      <c r="L26" s="13">
        <v>-2.42</v>
      </c>
      <c r="M26" s="13">
        <v>0.09</v>
      </c>
      <c r="N26" s="13">
        <v>0.15</v>
      </c>
      <c r="O26" s="13">
        <v>-0.06</v>
      </c>
      <c r="P26" s="13">
        <v>7.7404489999999999</v>
      </c>
      <c r="Q26" s="13">
        <v>5.6478140000000003</v>
      </c>
      <c r="R26" s="13">
        <v>10.521979999999999</v>
      </c>
      <c r="S26" s="12">
        <v>25</v>
      </c>
      <c r="T26" s="13">
        <v>-0.34708810000000001</v>
      </c>
      <c r="U26" s="13">
        <v>-2.441179</v>
      </c>
      <c r="V26" s="13">
        <v>2.1937220000000002</v>
      </c>
      <c r="W26">
        <v>31</v>
      </c>
      <c r="X26" s="11"/>
    </row>
    <row r="27" spans="1:24" x14ac:dyDescent="0.25">
      <c r="A27">
        <v>12161</v>
      </c>
      <c r="B27">
        <v>43</v>
      </c>
      <c r="C27" t="s">
        <v>75</v>
      </c>
      <c r="D27" s="11" t="s">
        <v>85</v>
      </c>
      <c r="E27" t="s">
        <v>76</v>
      </c>
      <c r="F27" t="s">
        <v>136</v>
      </c>
      <c r="G27" t="s">
        <v>78</v>
      </c>
      <c r="H27" s="13">
        <v>4.6500000000000004</v>
      </c>
      <c r="I27" s="13">
        <v>-2.5099999999999998</v>
      </c>
      <c r="J27" s="13">
        <v>-2.0099999999999998</v>
      </c>
      <c r="K27" s="13">
        <v>-2.48</v>
      </c>
      <c r="L27" s="13">
        <v>-2.44</v>
      </c>
      <c r="M27" s="13">
        <v>0.1</v>
      </c>
      <c r="N27" s="13">
        <v>0.16</v>
      </c>
      <c r="O27" s="13">
        <v>-0.04</v>
      </c>
      <c r="P27" s="13">
        <v>7.7509829999999997</v>
      </c>
      <c r="Q27" s="13">
        <v>5.4641830000000002</v>
      </c>
      <c r="R27" s="13">
        <v>10.88463</v>
      </c>
      <c r="S27" s="12">
        <v>26</v>
      </c>
      <c r="T27" s="13">
        <v>-0.1671627</v>
      </c>
      <c r="U27" s="13">
        <v>-2.6018829999999999</v>
      </c>
      <c r="V27" s="13">
        <v>2.6046320000000001</v>
      </c>
      <c r="W27">
        <v>40</v>
      </c>
      <c r="X27" s="11"/>
    </row>
    <row r="28" spans="1:24" x14ac:dyDescent="0.25">
      <c r="A28">
        <v>11221</v>
      </c>
      <c r="B28">
        <v>148</v>
      </c>
      <c r="C28" t="s">
        <v>75</v>
      </c>
      <c r="D28" s="11" t="s">
        <v>84</v>
      </c>
      <c r="E28" t="s">
        <v>82</v>
      </c>
      <c r="F28" t="s">
        <v>132</v>
      </c>
      <c r="G28" t="s">
        <v>78</v>
      </c>
      <c r="H28" s="13">
        <v>10.81</v>
      </c>
      <c r="I28" s="13">
        <v>-2.11</v>
      </c>
      <c r="J28" s="13">
        <v>-2.0099999999999998</v>
      </c>
      <c r="K28" s="13">
        <v>-2.4500000000000002</v>
      </c>
      <c r="L28" s="13">
        <v>-2.57</v>
      </c>
      <c r="M28" s="13">
        <v>0.1</v>
      </c>
      <c r="N28" s="13">
        <v>0.15</v>
      </c>
      <c r="O28" s="13">
        <v>0.12</v>
      </c>
      <c r="P28" s="13">
        <v>7.91533</v>
      </c>
      <c r="Q28" s="13">
        <v>5.7547600000000001</v>
      </c>
      <c r="R28" s="13">
        <v>10.79416</v>
      </c>
      <c r="S28" s="12">
        <v>27</v>
      </c>
      <c r="T28" s="13">
        <v>0.94913570000000003</v>
      </c>
      <c r="U28" s="13">
        <v>-1.2328509999999999</v>
      </c>
      <c r="V28" s="13">
        <v>3.687154</v>
      </c>
      <c r="W28">
        <v>96</v>
      </c>
      <c r="X28" s="11"/>
    </row>
    <row r="29" spans="1:24" x14ac:dyDescent="0.25">
      <c r="A29">
        <v>12112</v>
      </c>
      <c r="B29">
        <v>64</v>
      </c>
      <c r="C29" t="s">
        <v>75</v>
      </c>
      <c r="D29" s="11" t="s">
        <v>85</v>
      </c>
      <c r="E29" t="s">
        <v>76</v>
      </c>
      <c r="F29" t="s">
        <v>131</v>
      </c>
      <c r="G29" t="s">
        <v>79</v>
      </c>
      <c r="H29" s="13">
        <v>6.25</v>
      </c>
      <c r="I29" s="13">
        <v>-2.46</v>
      </c>
      <c r="J29" s="13">
        <v>-2.0099999999999998</v>
      </c>
      <c r="K29" s="13">
        <v>-2.4500000000000002</v>
      </c>
      <c r="L29" s="13">
        <v>-2.42</v>
      </c>
      <c r="M29" s="13">
        <v>0.13</v>
      </c>
      <c r="N29" s="13">
        <v>0.16</v>
      </c>
      <c r="O29" s="13">
        <v>-0.03</v>
      </c>
      <c r="P29" s="13">
        <v>7.9559949999999997</v>
      </c>
      <c r="Q29" s="13">
        <v>5.4904830000000002</v>
      </c>
      <c r="R29" s="13">
        <v>11.395160000000001</v>
      </c>
      <c r="S29" s="12">
        <v>28</v>
      </c>
      <c r="T29" s="13">
        <v>-0.2329717</v>
      </c>
      <c r="U29" s="13">
        <v>-2.8176700000000001</v>
      </c>
      <c r="V29" s="13">
        <v>2.9410799999999999</v>
      </c>
      <c r="W29">
        <v>36</v>
      </c>
      <c r="X29" s="11"/>
    </row>
    <row r="30" spans="1:24" x14ac:dyDescent="0.25">
      <c r="A30">
        <v>11132</v>
      </c>
      <c r="B30">
        <v>338</v>
      </c>
      <c r="C30" t="s">
        <v>75</v>
      </c>
      <c r="D30" s="11" t="s">
        <v>84</v>
      </c>
      <c r="E30" t="s">
        <v>76</v>
      </c>
      <c r="F30" t="s">
        <v>133</v>
      </c>
      <c r="G30" t="s">
        <v>79</v>
      </c>
      <c r="H30" s="13">
        <v>9.17</v>
      </c>
      <c r="I30" s="13">
        <v>-2.2799999999999998</v>
      </c>
      <c r="J30" s="13">
        <v>-2.0099999999999998</v>
      </c>
      <c r="K30" s="13">
        <v>-2.44</v>
      </c>
      <c r="L30" s="13">
        <v>-2.54</v>
      </c>
      <c r="M30" s="13">
        <v>0.09</v>
      </c>
      <c r="N30" s="13">
        <v>0.13</v>
      </c>
      <c r="O30" s="13">
        <v>0.1</v>
      </c>
      <c r="P30" s="13">
        <v>8.019482</v>
      </c>
      <c r="Q30" s="13">
        <v>6.0565709999999999</v>
      </c>
      <c r="R30" s="13">
        <v>10.547140000000001</v>
      </c>
      <c r="S30" s="12">
        <v>29</v>
      </c>
      <c r="T30" s="13">
        <v>0.84222640000000004</v>
      </c>
      <c r="U30" s="13">
        <v>-1.1498630000000001</v>
      </c>
      <c r="V30" s="13">
        <v>3.3919600000000001</v>
      </c>
      <c r="W30">
        <v>95</v>
      </c>
      <c r="X30" s="11"/>
    </row>
    <row r="31" spans="1:24" x14ac:dyDescent="0.25">
      <c r="A31">
        <v>21251</v>
      </c>
      <c r="B31">
        <v>167</v>
      </c>
      <c r="C31" t="s">
        <v>83</v>
      </c>
      <c r="D31" s="11" t="s">
        <v>84</v>
      </c>
      <c r="E31" t="s">
        <v>82</v>
      </c>
      <c r="F31" t="s">
        <v>135</v>
      </c>
      <c r="G31" t="s">
        <v>78</v>
      </c>
      <c r="H31" s="13">
        <v>4.79</v>
      </c>
      <c r="I31" s="13">
        <v>-2.77</v>
      </c>
      <c r="J31" s="13">
        <v>-2.0099999999999998</v>
      </c>
      <c r="K31" s="13">
        <v>-2.4300000000000002</v>
      </c>
      <c r="L31" s="13">
        <v>-2.27</v>
      </c>
      <c r="M31" s="13">
        <v>0.1</v>
      </c>
      <c r="N31" s="13">
        <v>0.14000000000000001</v>
      </c>
      <c r="O31" s="13">
        <v>-0.16</v>
      </c>
      <c r="P31" s="13">
        <v>8.1066129999999994</v>
      </c>
      <c r="Q31" s="13">
        <v>5.9090439999999997</v>
      </c>
      <c r="R31" s="13">
        <v>11.025690000000001</v>
      </c>
      <c r="S31" s="12">
        <v>30</v>
      </c>
      <c r="T31" s="13">
        <v>-1.211268</v>
      </c>
      <c r="U31" s="13">
        <v>-3.4319419999999998</v>
      </c>
      <c r="V31" s="13">
        <v>1.581971</v>
      </c>
      <c r="W31">
        <v>12</v>
      </c>
      <c r="X31" s="11"/>
    </row>
    <row r="32" spans="1:24" x14ac:dyDescent="0.25">
      <c r="A32">
        <v>21152</v>
      </c>
      <c r="B32">
        <v>280</v>
      </c>
      <c r="C32" t="s">
        <v>83</v>
      </c>
      <c r="D32" s="11" t="s">
        <v>84</v>
      </c>
      <c r="E32" t="s">
        <v>76</v>
      </c>
      <c r="F32" t="s">
        <v>135</v>
      </c>
      <c r="G32" t="s">
        <v>79</v>
      </c>
      <c r="H32" s="13">
        <v>8.2100000000000009</v>
      </c>
      <c r="I32" s="13">
        <v>-2.38</v>
      </c>
      <c r="J32" s="13">
        <v>-2.0099999999999998</v>
      </c>
      <c r="K32" s="13">
        <v>-2.41</v>
      </c>
      <c r="L32" s="13">
        <v>-2.41</v>
      </c>
      <c r="M32" s="13">
        <v>0.09</v>
      </c>
      <c r="N32" s="13">
        <v>0.13</v>
      </c>
      <c r="O32" s="13">
        <v>0</v>
      </c>
      <c r="P32" s="13">
        <v>8.2102769999999996</v>
      </c>
      <c r="Q32" s="13">
        <v>6.1090150000000003</v>
      </c>
      <c r="R32" s="13">
        <v>10.95</v>
      </c>
      <c r="S32" s="12">
        <v>31</v>
      </c>
      <c r="T32" s="13">
        <v>5.3072800000000003E-2</v>
      </c>
      <c r="U32" s="13">
        <v>-2.2180469999999999</v>
      </c>
      <c r="V32" s="13">
        <v>2.614878</v>
      </c>
      <c r="W32">
        <v>53</v>
      </c>
      <c r="X32" s="11"/>
    </row>
    <row r="33" spans="1:24" x14ac:dyDescent="0.25">
      <c r="A33">
        <v>21141</v>
      </c>
      <c r="B33">
        <v>88</v>
      </c>
      <c r="C33" t="s">
        <v>83</v>
      </c>
      <c r="D33" s="11" t="s">
        <v>84</v>
      </c>
      <c r="E33" t="s">
        <v>76</v>
      </c>
      <c r="F33" t="s">
        <v>134</v>
      </c>
      <c r="G33" t="s">
        <v>78</v>
      </c>
      <c r="H33" s="13">
        <v>6.82</v>
      </c>
      <c r="I33" s="13">
        <v>-2.4500000000000002</v>
      </c>
      <c r="J33" s="13">
        <v>-2.0099999999999998</v>
      </c>
      <c r="K33" s="13">
        <v>-2.4</v>
      </c>
      <c r="L33" s="13">
        <v>-2.37</v>
      </c>
      <c r="M33" s="13">
        <v>0.11</v>
      </c>
      <c r="N33" s="13">
        <v>0.15</v>
      </c>
      <c r="O33" s="13">
        <v>-0.04</v>
      </c>
      <c r="P33" s="13">
        <v>8.2941219999999998</v>
      </c>
      <c r="Q33" s="13">
        <v>5.8775019999999998</v>
      </c>
      <c r="R33" s="13">
        <v>11.582100000000001</v>
      </c>
      <c r="S33" s="12">
        <v>32</v>
      </c>
      <c r="T33" s="13">
        <v>-0.20344799999999999</v>
      </c>
      <c r="U33" s="13">
        <v>-2.914606</v>
      </c>
      <c r="V33" s="13">
        <v>3.0056579999999999</v>
      </c>
      <c r="W33">
        <v>38</v>
      </c>
      <c r="X33" s="11"/>
    </row>
    <row r="34" spans="1:24" x14ac:dyDescent="0.25">
      <c r="A34">
        <v>11231</v>
      </c>
      <c r="B34">
        <v>293</v>
      </c>
      <c r="C34" t="s">
        <v>75</v>
      </c>
      <c r="D34" s="11" t="s">
        <v>84</v>
      </c>
      <c r="E34" t="s">
        <v>82</v>
      </c>
      <c r="F34" t="s">
        <v>133</v>
      </c>
      <c r="G34" t="s">
        <v>78</v>
      </c>
      <c r="H34" s="13">
        <v>9.2200000000000006</v>
      </c>
      <c r="I34" s="13">
        <v>-2.27</v>
      </c>
      <c r="J34" s="13">
        <v>-2.0099999999999998</v>
      </c>
      <c r="K34" s="13">
        <v>-2.36</v>
      </c>
      <c r="L34" s="13">
        <v>-2.4</v>
      </c>
      <c r="M34" s="13">
        <v>0.09</v>
      </c>
      <c r="N34" s="13">
        <v>0.13</v>
      </c>
      <c r="O34" s="13">
        <v>0.04</v>
      </c>
      <c r="P34" s="13">
        <v>8.6209720000000001</v>
      </c>
      <c r="Q34" s="13">
        <v>6.4947749999999997</v>
      </c>
      <c r="R34" s="13">
        <v>11.35867</v>
      </c>
      <c r="S34" s="12">
        <v>33</v>
      </c>
      <c r="T34" s="13">
        <v>0.41019489999999997</v>
      </c>
      <c r="U34" s="13">
        <v>-1.87354</v>
      </c>
      <c r="V34" s="13">
        <v>3.19462</v>
      </c>
      <c r="W34">
        <v>76</v>
      </c>
      <c r="X34" s="11"/>
    </row>
    <row r="35" spans="1:24" x14ac:dyDescent="0.25">
      <c r="A35">
        <v>21121</v>
      </c>
      <c r="B35">
        <v>69</v>
      </c>
      <c r="C35" t="s">
        <v>83</v>
      </c>
      <c r="D35" s="11" t="s">
        <v>84</v>
      </c>
      <c r="E35" t="s">
        <v>76</v>
      </c>
      <c r="F35" t="s">
        <v>132</v>
      </c>
      <c r="G35" t="s">
        <v>78</v>
      </c>
      <c r="H35" s="13">
        <v>8.6999999999999993</v>
      </c>
      <c r="I35" s="13">
        <v>-2.27</v>
      </c>
      <c r="J35" s="13">
        <v>-2.0099999999999998</v>
      </c>
      <c r="K35" s="13">
        <v>-2.35</v>
      </c>
      <c r="L35" s="13">
        <v>-2.35</v>
      </c>
      <c r="M35" s="13">
        <v>0.1</v>
      </c>
      <c r="N35" s="13">
        <v>0.15</v>
      </c>
      <c r="O35" s="13">
        <v>0</v>
      </c>
      <c r="P35" s="13">
        <v>8.6709169999999993</v>
      </c>
      <c r="Q35" s="13">
        <v>6.2115150000000003</v>
      </c>
      <c r="R35" s="13">
        <v>11.97972</v>
      </c>
      <c r="S35" s="12">
        <v>34</v>
      </c>
      <c r="T35" s="13">
        <v>0.15408540000000001</v>
      </c>
      <c r="U35" s="13">
        <v>-2.2478379999999998</v>
      </c>
      <c r="V35" s="13">
        <v>3.1945389999999998</v>
      </c>
      <c r="W35">
        <v>58</v>
      </c>
      <c r="X35" s="11"/>
    </row>
    <row r="36" spans="1:24" x14ac:dyDescent="0.25">
      <c r="A36">
        <v>11212</v>
      </c>
      <c r="B36">
        <v>104</v>
      </c>
      <c r="C36" t="s">
        <v>75</v>
      </c>
      <c r="D36" s="11" t="s">
        <v>84</v>
      </c>
      <c r="E36" t="s">
        <v>82</v>
      </c>
      <c r="F36" t="s">
        <v>131</v>
      </c>
      <c r="G36" t="s">
        <v>79</v>
      </c>
      <c r="H36" s="13">
        <v>10.58</v>
      </c>
      <c r="I36" s="13">
        <v>-2.13</v>
      </c>
      <c r="J36" s="13">
        <v>-2.0099999999999998</v>
      </c>
      <c r="K36" s="13">
        <v>-2.35</v>
      </c>
      <c r="L36" s="13">
        <v>-2.4</v>
      </c>
      <c r="M36" s="13">
        <v>0.13</v>
      </c>
      <c r="N36" s="13">
        <v>0.15</v>
      </c>
      <c r="O36" s="13">
        <v>0.05</v>
      </c>
      <c r="P36" s="13">
        <v>8.7101659999999992</v>
      </c>
      <c r="Q36" s="13">
        <v>6.1099350000000001</v>
      </c>
      <c r="R36" s="13">
        <v>12.27234</v>
      </c>
      <c r="S36" s="12">
        <v>35</v>
      </c>
      <c r="T36" s="13">
        <v>0.58971200000000001</v>
      </c>
      <c r="U36" s="13">
        <v>-2.0870570000000002</v>
      </c>
      <c r="V36" s="13">
        <v>3.8791509999999998</v>
      </c>
      <c r="W36">
        <v>86</v>
      </c>
      <c r="X36" s="11"/>
    </row>
    <row r="37" spans="1:24" x14ac:dyDescent="0.25">
      <c r="A37">
        <v>21131</v>
      </c>
      <c r="B37">
        <v>199</v>
      </c>
      <c r="C37" t="s">
        <v>83</v>
      </c>
      <c r="D37" s="11" t="s">
        <v>84</v>
      </c>
      <c r="E37" t="s">
        <v>76</v>
      </c>
      <c r="F37" t="s">
        <v>133</v>
      </c>
      <c r="G37" t="s">
        <v>78</v>
      </c>
      <c r="H37" s="13">
        <v>6.03</v>
      </c>
      <c r="I37" s="13">
        <v>-2.62</v>
      </c>
      <c r="J37" s="13">
        <v>-2.0099999999999998</v>
      </c>
      <c r="K37" s="13">
        <v>-2.34</v>
      </c>
      <c r="L37" s="13">
        <v>-2.19</v>
      </c>
      <c r="M37" s="13">
        <v>0.09</v>
      </c>
      <c r="N37" s="13">
        <v>0.14000000000000001</v>
      </c>
      <c r="O37" s="13">
        <v>-0.15</v>
      </c>
      <c r="P37" s="13">
        <v>8.768421</v>
      </c>
      <c r="Q37" s="13">
        <v>6.5019010000000002</v>
      </c>
      <c r="R37" s="13">
        <v>11.72594</v>
      </c>
      <c r="S37" s="12">
        <v>36</v>
      </c>
      <c r="T37" s="13">
        <v>-1.236345</v>
      </c>
      <c r="U37" s="13">
        <v>-3.4622649999999999</v>
      </c>
      <c r="V37" s="13">
        <v>1.590028</v>
      </c>
      <c r="W37">
        <v>11</v>
      </c>
      <c r="X37" s="11"/>
    </row>
    <row r="38" spans="1:24" x14ac:dyDescent="0.25">
      <c r="A38">
        <v>11242</v>
      </c>
      <c r="B38">
        <v>162</v>
      </c>
      <c r="C38" t="s">
        <v>75</v>
      </c>
      <c r="D38" s="11" t="s">
        <v>84</v>
      </c>
      <c r="E38" t="s">
        <v>82</v>
      </c>
      <c r="F38" t="s">
        <v>134</v>
      </c>
      <c r="G38" t="s">
        <v>79</v>
      </c>
      <c r="H38" s="13">
        <v>7.41</v>
      </c>
      <c r="I38" s="13">
        <v>-2.44</v>
      </c>
      <c r="J38" s="13">
        <v>-2.0099999999999998</v>
      </c>
      <c r="K38" s="13">
        <v>-2.34</v>
      </c>
      <c r="L38" s="13">
        <v>-2.2799999999999998</v>
      </c>
      <c r="M38" s="13">
        <v>0.11</v>
      </c>
      <c r="N38" s="13">
        <v>0.14000000000000001</v>
      </c>
      <c r="O38" s="13">
        <v>-0.06</v>
      </c>
      <c r="P38" s="13">
        <v>8.7817919999999994</v>
      </c>
      <c r="Q38" s="13">
        <v>6.3536039999999998</v>
      </c>
      <c r="R38" s="13">
        <v>12.01887</v>
      </c>
      <c r="S38" s="12">
        <v>37</v>
      </c>
      <c r="T38" s="13">
        <v>-0.4778403</v>
      </c>
      <c r="U38" s="13">
        <v>-3.0566840000000002</v>
      </c>
      <c r="V38" s="13">
        <v>2.6144790000000002</v>
      </c>
      <c r="W38">
        <v>22</v>
      </c>
      <c r="X38" s="11"/>
    </row>
    <row r="39" spans="1:24" x14ac:dyDescent="0.25">
      <c r="A39">
        <v>22151</v>
      </c>
      <c r="B39">
        <v>118</v>
      </c>
      <c r="C39" t="s">
        <v>83</v>
      </c>
      <c r="D39" s="11" t="s">
        <v>85</v>
      </c>
      <c r="E39" t="s">
        <v>76</v>
      </c>
      <c r="F39" t="s">
        <v>135</v>
      </c>
      <c r="G39" t="s">
        <v>78</v>
      </c>
      <c r="H39" s="13">
        <v>8.4700000000000006</v>
      </c>
      <c r="I39" s="13">
        <v>-2.3199999999999998</v>
      </c>
      <c r="J39" s="13">
        <v>-2.0099999999999998</v>
      </c>
      <c r="K39" s="13">
        <v>-2.31</v>
      </c>
      <c r="L39" s="13">
        <v>-2.29</v>
      </c>
      <c r="M39" s="13">
        <v>0.1</v>
      </c>
      <c r="N39" s="13">
        <v>0.15</v>
      </c>
      <c r="O39" s="13">
        <v>-0.02</v>
      </c>
      <c r="P39" s="13">
        <v>9.0398119999999995</v>
      </c>
      <c r="Q39" s="13">
        <v>6.5365180000000001</v>
      </c>
      <c r="R39" s="13">
        <v>12.37486</v>
      </c>
      <c r="S39" s="12">
        <v>38</v>
      </c>
      <c r="T39" s="13">
        <v>9.0839999999999996E-4</v>
      </c>
      <c r="U39" s="13">
        <v>-2.721727</v>
      </c>
      <c r="V39" s="13">
        <v>3.2704330000000001</v>
      </c>
      <c r="W39">
        <v>51</v>
      </c>
      <c r="X39" s="11"/>
    </row>
    <row r="40" spans="1:24" x14ac:dyDescent="0.25">
      <c r="A40">
        <v>11171</v>
      </c>
      <c r="B40">
        <v>185</v>
      </c>
      <c r="C40" t="s">
        <v>75</v>
      </c>
      <c r="D40" s="11" t="s">
        <v>84</v>
      </c>
      <c r="E40" t="s">
        <v>76</v>
      </c>
      <c r="F40" t="s">
        <v>137</v>
      </c>
      <c r="G40" t="s">
        <v>78</v>
      </c>
      <c r="H40" s="13">
        <v>9.73</v>
      </c>
      <c r="I40" s="13">
        <v>-2.21</v>
      </c>
      <c r="J40" s="13">
        <v>-2.0099999999999998</v>
      </c>
      <c r="K40" s="13">
        <v>-2.31</v>
      </c>
      <c r="L40" s="13">
        <v>-2.34</v>
      </c>
      <c r="M40" s="13">
        <v>0.09</v>
      </c>
      <c r="N40" s="13">
        <v>0.14000000000000001</v>
      </c>
      <c r="O40" s="13">
        <v>0.03</v>
      </c>
      <c r="P40" s="13">
        <v>9.0444019999999998</v>
      </c>
      <c r="Q40" s="13">
        <v>6.7124709999999999</v>
      </c>
      <c r="R40" s="13">
        <v>12.08154</v>
      </c>
      <c r="S40" s="12">
        <v>39</v>
      </c>
      <c r="T40" s="13">
        <v>0.41810059999999999</v>
      </c>
      <c r="U40" s="13">
        <v>-2.1394860000000002</v>
      </c>
      <c r="V40" s="13">
        <v>3.4936639999999999</v>
      </c>
      <c r="W40">
        <v>78</v>
      </c>
      <c r="X40" s="11"/>
    </row>
    <row r="41" spans="1:24" x14ac:dyDescent="0.25">
      <c r="A41">
        <v>12211</v>
      </c>
      <c r="B41">
        <v>46</v>
      </c>
      <c r="C41" t="s">
        <v>75</v>
      </c>
      <c r="D41" s="11" t="s">
        <v>85</v>
      </c>
      <c r="E41" t="s">
        <v>82</v>
      </c>
      <c r="F41" t="s">
        <v>131</v>
      </c>
      <c r="G41" t="s">
        <v>78</v>
      </c>
      <c r="H41" s="13">
        <v>8.6999999999999993</v>
      </c>
      <c r="I41" s="13">
        <v>-2.2400000000000002</v>
      </c>
      <c r="J41" s="13">
        <v>-2.0099999999999998</v>
      </c>
      <c r="K41" s="13">
        <v>-2.29</v>
      </c>
      <c r="L41" s="13">
        <v>-2.2799999999999998</v>
      </c>
      <c r="M41" s="13">
        <v>0.13</v>
      </c>
      <c r="N41" s="13">
        <v>0.16</v>
      </c>
      <c r="O41" s="13">
        <v>-0.01</v>
      </c>
      <c r="P41" s="13">
        <v>9.223789</v>
      </c>
      <c r="Q41" s="13">
        <v>6.3668930000000001</v>
      </c>
      <c r="R41" s="13">
        <v>13.182130000000001</v>
      </c>
      <c r="S41" s="12">
        <v>40</v>
      </c>
      <c r="T41" s="13">
        <v>0.1172579</v>
      </c>
      <c r="U41" s="13">
        <v>-2.9567869999999998</v>
      </c>
      <c r="V41" s="13">
        <v>4.366822</v>
      </c>
      <c r="W41">
        <v>55</v>
      </c>
      <c r="X41" s="11"/>
    </row>
    <row r="42" spans="1:24" x14ac:dyDescent="0.25">
      <c r="A42">
        <v>12122</v>
      </c>
      <c r="B42">
        <v>234</v>
      </c>
      <c r="C42" t="s">
        <v>75</v>
      </c>
      <c r="D42" s="11" t="s">
        <v>85</v>
      </c>
      <c r="E42" t="s">
        <v>76</v>
      </c>
      <c r="F42" t="s">
        <v>132</v>
      </c>
      <c r="G42" t="s">
        <v>79</v>
      </c>
      <c r="H42" s="13">
        <v>9.4</v>
      </c>
      <c r="I42" s="13">
        <v>-2.25</v>
      </c>
      <c r="J42" s="13">
        <v>-2.0099999999999998</v>
      </c>
      <c r="K42" s="13">
        <v>-2.2799999999999998</v>
      </c>
      <c r="L42" s="13">
        <v>-2.2799999999999998</v>
      </c>
      <c r="M42" s="13">
        <v>0.09</v>
      </c>
      <c r="N42" s="13">
        <v>0.13</v>
      </c>
      <c r="O42" s="13">
        <v>0</v>
      </c>
      <c r="P42" s="13">
        <v>9.3005720000000007</v>
      </c>
      <c r="Q42" s="13">
        <v>6.9417710000000001</v>
      </c>
      <c r="R42" s="13">
        <v>12.354480000000001</v>
      </c>
      <c r="S42" s="12">
        <v>41</v>
      </c>
      <c r="T42" s="13">
        <v>0.102649</v>
      </c>
      <c r="U42" s="13">
        <v>-2.2140390000000001</v>
      </c>
      <c r="V42" s="13">
        <v>2.7868390000000001</v>
      </c>
      <c r="W42">
        <v>54</v>
      </c>
      <c r="X42" s="11"/>
    </row>
    <row r="43" spans="1:24" x14ac:dyDescent="0.25">
      <c r="A43">
        <v>12142</v>
      </c>
      <c r="B43">
        <v>100</v>
      </c>
      <c r="C43" t="s">
        <v>75</v>
      </c>
      <c r="D43" s="11" t="s">
        <v>85</v>
      </c>
      <c r="E43" t="s">
        <v>76</v>
      </c>
      <c r="F43" t="s">
        <v>134</v>
      </c>
      <c r="G43" t="s">
        <v>79</v>
      </c>
      <c r="H43" s="13">
        <v>10</v>
      </c>
      <c r="I43" s="13">
        <v>-2.1800000000000002</v>
      </c>
      <c r="J43" s="13">
        <v>-2.0099999999999998</v>
      </c>
      <c r="K43" s="13">
        <v>-2.2799999999999998</v>
      </c>
      <c r="L43" s="13">
        <v>-2.29</v>
      </c>
      <c r="M43" s="13">
        <v>0.11</v>
      </c>
      <c r="N43" s="13">
        <v>0.15</v>
      </c>
      <c r="O43" s="13">
        <v>0.02</v>
      </c>
      <c r="P43" s="13">
        <v>9.3189530000000005</v>
      </c>
      <c r="Q43" s="13">
        <v>6.6826780000000001</v>
      </c>
      <c r="R43" s="13">
        <v>12.851990000000001</v>
      </c>
      <c r="S43" s="12">
        <v>42</v>
      </c>
      <c r="T43" s="13">
        <v>0.26724530000000002</v>
      </c>
      <c r="U43" s="13">
        <v>-2.4562550000000001</v>
      </c>
      <c r="V43" s="13">
        <v>3.646382</v>
      </c>
      <c r="W43">
        <v>67</v>
      </c>
      <c r="X43" s="11"/>
    </row>
    <row r="44" spans="1:24" x14ac:dyDescent="0.25">
      <c r="A44">
        <v>21161</v>
      </c>
      <c r="B44">
        <v>68</v>
      </c>
      <c r="C44" t="s">
        <v>83</v>
      </c>
      <c r="D44" s="11" t="s">
        <v>84</v>
      </c>
      <c r="E44" t="s">
        <v>76</v>
      </c>
      <c r="F44" t="s">
        <v>136</v>
      </c>
      <c r="G44" t="s">
        <v>78</v>
      </c>
      <c r="H44" s="13">
        <v>7.35</v>
      </c>
      <c r="I44" s="13">
        <v>-2.37</v>
      </c>
      <c r="J44" s="13">
        <v>-2.0099999999999998</v>
      </c>
      <c r="K44" s="13">
        <v>-2.25</v>
      </c>
      <c r="L44" s="13">
        <v>-2.21</v>
      </c>
      <c r="M44" s="13">
        <v>0.1</v>
      </c>
      <c r="N44" s="13">
        <v>0.15</v>
      </c>
      <c r="O44" s="13">
        <v>-0.04</v>
      </c>
      <c r="P44" s="13">
        <v>9.5381680000000006</v>
      </c>
      <c r="Q44" s="13">
        <v>6.8350679999999997</v>
      </c>
      <c r="R44" s="13">
        <v>13.159280000000001</v>
      </c>
      <c r="S44" s="12">
        <v>43</v>
      </c>
      <c r="T44" s="13">
        <v>-0.31840289999999999</v>
      </c>
      <c r="U44" s="13">
        <v>-2.9843660000000001</v>
      </c>
      <c r="V44" s="13">
        <v>3.217009</v>
      </c>
      <c r="W44">
        <v>32</v>
      </c>
      <c r="X44" s="11"/>
    </row>
    <row r="45" spans="1:24" x14ac:dyDescent="0.25">
      <c r="A45">
        <v>11222</v>
      </c>
      <c r="B45">
        <v>314</v>
      </c>
      <c r="C45" t="s">
        <v>75</v>
      </c>
      <c r="D45" s="11" t="s">
        <v>84</v>
      </c>
      <c r="E45" t="s">
        <v>82</v>
      </c>
      <c r="F45" t="s">
        <v>132</v>
      </c>
      <c r="G45" t="s">
        <v>79</v>
      </c>
      <c r="H45" s="13">
        <v>10.51</v>
      </c>
      <c r="I45" s="13">
        <v>-2.14</v>
      </c>
      <c r="J45" s="13">
        <v>-2.0099999999999998</v>
      </c>
      <c r="K45" s="13">
        <v>-2.21</v>
      </c>
      <c r="L45" s="13">
        <v>-2.2599999999999998</v>
      </c>
      <c r="M45" s="13">
        <v>0.09</v>
      </c>
      <c r="N45" s="13">
        <v>0.12</v>
      </c>
      <c r="O45" s="13">
        <v>0.05</v>
      </c>
      <c r="P45" s="13">
        <v>9.8608270000000005</v>
      </c>
      <c r="Q45" s="13">
        <v>7.4876750000000003</v>
      </c>
      <c r="R45" s="13">
        <v>12.881399999999999</v>
      </c>
      <c r="S45" s="12">
        <v>44</v>
      </c>
      <c r="T45" s="13">
        <v>0.54060459999999999</v>
      </c>
      <c r="U45" s="13">
        <v>-1.9964109999999999</v>
      </c>
      <c r="V45" s="13">
        <v>3.6114359999999999</v>
      </c>
      <c r="W45">
        <v>84</v>
      </c>
      <c r="X45" s="11"/>
    </row>
    <row r="46" spans="1:24" x14ac:dyDescent="0.25">
      <c r="A46">
        <v>21112</v>
      </c>
      <c r="B46">
        <v>72</v>
      </c>
      <c r="C46" t="s">
        <v>83</v>
      </c>
      <c r="D46" s="11" t="s">
        <v>84</v>
      </c>
      <c r="E46" t="s">
        <v>76</v>
      </c>
      <c r="F46" t="s">
        <v>131</v>
      </c>
      <c r="G46" t="s">
        <v>79</v>
      </c>
      <c r="H46" s="13">
        <v>9.7200000000000006</v>
      </c>
      <c r="I46" s="13">
        <v>-2.19</v>
      </c>
      <c r="J46" s="13">
        <v>-2.0099999999999998</v>
      </c>
      <c r="K46" s="13">
        <v>-2.19</v>
      </c>
      <c r="L46" s="13">
        <v>-2.1800000000000002</v>
      </c>
      <c r="M46" s="13">
        <v>0.13</v>
      </c>
      <c r="N46" s="13">
        <v>0.15</v>
      </c>
      <c r="O46" s="13">
        <v>-0.01</v>
      </c>
      <c r="P46" s="13">
        <v>10.03872</v>
      </c>
      <c r="Q46" s="13">
        <v>7.0189269999999997</v>
      </c>
      <c r="R46" s="13">
        <v>14.159890000000001</v>
      </c>
      <c r="S46" s="12">
        <v>45</v>
      </c>
      <c r="T46" s="13">
        <v>0.1325327</v>
      </c>
      <c r="U46" s="13">
        <v>-2.9488729999999999</v>
      </c>
      <c r="V46" s="13">
        <v>3.8976259999999998</v>
      </c>
      <c r="W46">
        <v>56</v>
      </c>
      <c r="X46" s="11"/>
    </row>
    <row r="47" spans="1:24" x14ac:dyDescent="0.25">
      <c r="A47">
        <v>12252</v>
      </c>
      <c r="B47">
        <v>262</v>
      </c>
      <c r="C47" t="s">
        <v>75</v>
      </c>
      <c r="D47" s="11" t="s">
        <v>85</v>
      </c>
      <c r="E47" t="s">
        <v>82</v>
      </c>
      <c r="F47" t="s">
        <v>135</v>
      </c>
      <c r="G47" t="s">
        <v>79</v>
      </c>
      <c r="H47" s="13">
        <v>10.31</v>
      </c>
      <c r="I47" s="13">
        <v>-2.16</v>
      </c>
      <c r="J47" s="13">
        <v>-2.0099999999999998</v>
      </c>
      <c r="K47" s="13">
        <v>-2.19</v>
      </c>
      <c r="L47" s="13">
        <v>-2.2000000000000002</v>
      </c>
      <c r="M47" s="13">
        <v>0.09</v>
      </c>
      <c r="N47" s="13">
        <v>0.13</v>
      </c>
      <c r="O47" s="13">
        <v>0.01</v>
      </c>
      <c r="P47" s="13">
        <v>10.08872</v>
      </c>
      <c r="Q47" s="13">
        <v>7.5892350000000004</v>
      </c>
      <c r="R47" s="13">
        <v>13.292999999999999</v>
      </c>
      <c r="S47" s="12">
        <v>46</v>
      </c>
      <c r="T47" s="13">
        <v>0.23793339999999999</v>
      </c>
      <c r="U47" s="13">
        <v>-2.4525790000000001</v>
      </c>
      <c r="V47" s="13">
        <v>3.3759830000000002</v>
      </c>
      <c r="W47">
        <v>64</v>
      </c>
      <c r="X47" s="11"/>
    </row>
    <row r="48" spans="1:24" x14ac:dyDescent="0.25">
      <c r="A48">
        <v>12241</v>
      </c>
      <c r="B48">
        <v>46</v>
      </c>
      <c r="C48" t="s">
        <v>75</v>
      </c>
      <c r="D48" s="11" t="s">
        <v>85</v>
      </c>
      <c r="E48" t="s">
        <v>82</v>
      </c>
      <c r="F48" t="s">
        <v>134</v>
      </c>
      <c r="G48" t="s">
        <v>78</v>
      </c>
      <c r="H48" s="13">
        <v>8.6999999999999993</v>
      </c>
      <c r="I48" s="13">
        <v>-2.2400000000000002</v>
      </c>
      <c r="J48" s="13">
        <v>-2.0099999999999998</v>
      </c>
      <c r="K48" s="13">
        <v>-2.17</v>
      </c>
      <c r="L48" s="13">
        <v>-2.15</v>
      </c>
      <c r="M48" s="13">
        <v>0.11</v>
      </c>
      <c r="N48" s="13">
        <v>0.16</v>
      </c>
      <c r="O48" s="13">
        <v>-0.02</v>
      </c>
      <c r="P48" s="13">
        <v>10.20843</v>
      </c>
      <c r="Q48" s="13">
        <v>7.222486</v>
      </c>
      <c r="R48" s="13">
        <v>14.239380000000001</v>
      </c>
      <c r="S48" s="12">
        <v>47</v>
      </c>
      <c r="T48" s="13">
        <v>-9.8533000000000006E-3</v>
      </c>
      <c r="U48" s="13">
        <v>-3.0897480000000002</v>
      </c>
      <c r="V48" s="13">
        <v>4.0797800000000004</v>
      </c>
      <c r="W48">
        <v>50</v>
      </c>
      <c r="X48" s="11"/>
    </row>
    <row r="49" spans="1:24" x14ac:dyDescent="0.25">
      <c r="A49">
        <v>12221</v>
      </c>
      <c r="B49">
        <v>106</v>
      </c>
      <c r="C49" t="s">
        <v>75</v>
      </c>
      <c r="D49" s="11" t="s">
        <v>85</v>
      </c>
      <c r="E49" t="s">
        <v>82</v>
      </c>
      <c r="F49" t="s">
        <v>132</v>
      </c>
      <c r="G49" t="s">
        <v>78</v>
      </c>
      <c r="H49" s="13">
        <v>9.43</v>
      </c>
      <c r="I49" s="13">
        <v>-2.23</v>
      </c>
      <c r="J49" s="13">
        <v>-2.0099999999999998</v>
      </c>
      <c r="K49" s="13">
        <v>-2.17</v>
      </c>
      <c r="L49" s="13">
        <v>-2.14</v>
      </c>
      <c r="M49" s="13">
        <v>0.1</v>
      </c>
      <c r="N49" s="13">
        <v>0.15</v>
      </c>
      <c r="O49" s="13">
        <v>-0.03</v>
      </c>
      <c r="P49" s="13">
        <v>10.261229999999999</v>
      </c>
      <c r="Q49" s="13">
        <v>7.4944009999999999</v>
      </c>
      <c r="R49" s="13">
        <v>13.89608</v>
      </c>
      <c r="S49" s="12">
        <v>48</v>
      </c>
      <c r="T49" s="13">
        <v>-0.2918945</v>
      </c>
      <c r="U49" s="13">
        <v>-3.257714</v>
      </c>
      <c r="V49" s="13">
        <v>3.2513529999999999</v>
      </c>
      <c r="W49">
        <v>33</v>
      </c>
      <c r="X49" s="11"/>
    </row>
    <row r="50" spans="1:24" x14ac:dyDescent="0.25">
      <c r="A50">
        <v>22111</v>
      </c>
      <c r="B50">
        <v>28</v>
      </c>
      <c r="C50" t="s">
        <v>83</v>
      </c>
      <c r="D50" s="11" t="s">
        <v>85</v>
      </c>
      <c r="E50" t="s">
        <v>76</v>
      </c>
      <c r="F50" t="s">
        <v>131</v>
      </c>
      <c r="G50" t="s">
        <v>78</v>
      </c>
      <c r="H50" s="13">
        <v>0</v>
      </c>
      <c r="I50" s="13">
        <v>-2.68</v>
      </c>
      <c r="J50" s="13">
        <v>-2.0099999999999998</v>
      </c>
      <c r="K50" s="13">
        <v>-2.14</v>
      </c>
      <c r="L50" s="13">
        <v>-2.06</v>
      </c>
      <c r="M50" s="13">
        <v>0.13</v>
      </c>
      <c r="N50" s="13">
        <v>0.16</v>
      </c>
      <c r="O50" s="13">
        <v>-0.08</v>
      </c>
      <c r="P50" s="13">
        <v>10.484310000000001</v>
      </c>
      <c r="Q50" s="13">
        <v>7.2105990000000002</v>
      </c>
      <c r="R50" s="13">
        <v>15.004</v>
      </c>
      <c r="S50" s="12">
        <v>49</v>
      </c>
      <c r="T50" s="13">
        <v>-0.69665790000000005</v>
      </c>
      <c r="U50" s="13">
        <v>-4.0218400000000001</v>
      </c>
      <c r="V50" s="13">
        <v>3.405764</v>
      </c>
      <c r="W50">
        <v>17</v>
      </c>
      <c r="X50" s="11"/>
    </row>
    <row r="51" spans="1:24" x14ac:dyDescent="0.25">
      <c r="A51">
        <v>21122</v>
      </c>
      <c r="B51">
        <v>256</v>
      </c>
      <c r="C51" t="s">
        <v>83</v>
      </c>
      <c r="D51" s="11" t="s">
        <v>84</v>
      </c>
      <c r="E51" t="s">
        <v>76</v>
      </c>
      <c r="F51" t="s">
        <v>132</v>
      </c>
      <c r="G51" t="s">
        <v>79</v>
      </c>
      <c r="H51" s="13">
        <v>9.77</v>
      </c>
      <c r="I51" s="13">
        <v>-2.21</v>
      </c>
      <c r="J51" s="13">
        <v>-2.0099999999999998</v>
      </c>
      <c r="K51" s="13">
        <v>-2.12</v>
      </c>
      <c r="L51" s="13">
        <v>-2.0499999999999998</v>
      </c>
      <c r="M51" s="13">
        <v>0.09</v>
      </c>
      <c r="N51" s="13">
        <v>0.13</v>
      </c>
      <c r="O51" s="13">
        <v>-7.0000000000000007E-2</v>
      </c>
      <c r="P51" s="13">
        <v>10.71841</v>
      </c>
      <c r="Q51" s="13">
        <v>8.107424</v>
      </c>
      <c r="R51" s="13">
        <v>14.041779999999999</v>
      </c>
      <c r="S51" s="12">
        <v>50</v>
      </c>
      <c r="T51" s="13">
        <v>-0.57048929999999998</v>
      </c>
      <c r="U51" s="13">
        <v>-3.2693660000000002</v>
      </c>
      <c r="V51" s="13">
        <v>2.6538210000000002</v>
      </c>
      <c r="W51">
        <v>19</v>
      </c>
      <c r="X51" s="11"/>
    </row>
    <row r="52" spans="1:24" x14ac:dyDescent="0.25">
      <c r="A52">
        <v>11262</v>
      </c>
      <c r="B52">
        <v>259</v>
      </c>
      <c r="C52" t="s">
        <v>75</v>
      </c>
      <c r="D52" s="11" t="s">
        <v>84</v>
      </c>
      <c r="E52" t="s">
        <v>82</v>
      </c>
      <c r="F52" t="s">
        <v>136</v>
      </c>
      <c r="G52" t="s">
        <v>79</v>
      </c>
      <c r="H52" s="13">
        <v>10.81</v>
      </c>
      <c r="I52" s="13">
        <v>-2.11</v>
      </c>
      <c r="J52" s="13">
        <v>-2.0099999999999998</v>
      </c>
      <c r="K52" s="13">
        <v>-2.12</v>
      </c>
      <c r="L52" s="13">
        <v>-2.12</v>
      </c>
      <c r="M52" s="13">
        <v>0.09</v>
      </c>
      <c r="N52" s="13">
        <v>0.13</v>
      </c>
      <c r="O52" s="13">
        <v>0</v>
      </c>
      <c r="P52" s="13">
        <v>10.742620000000001</v>
      </c>
      <c r="Q52" s="13">
        <v>8.1151750000000007</v>
      </c>
      <c r="R52" s="13">
        <v>14.09029</v>
      </c>
      <c r="S52" s="12">
        <v>51</v>
      </c>
      <c r="T52" s="13">
        <v>0.15164730000000001</v>
      </c>
      <c r="U52" s="13">
        <v>-2.6370119999999999</v>
      </c>
      <c r="V52" s="13">
        <v>3.3337490000000001</v>
      </c>
      <c r="W52">
        <v>57</v>
      </c>
      <c r="X52" s="11"/>
    </row>
    <row r="53" spans="1:24" x14ac:dyDescent="0.25">
      <c r="A53">
        <v>12132</v>
      </c>
      <c r="B53">
        <v>261</v>
      </c>
      <c r="C53" t="s">
        <v>75</v>
      </c>
      <c r="D53" s="11" t="s">
        <v>85</v>
      </c>
      <c r="E53" t="s">
        <v>76</v>
      </c>
      <c r="F53" t="s">
        <v>133</v>
      </c>
      <c r="G53" t="s">
        <v>79</v>
      </c>
      <c r="H53" s="13">
        <v>11.49</v>
      </c>
      <c r="I53" s="13">
        <v>-2.0499999999999998</v>
      </c>
      <c r="J53" s="13">
        <v>-2.0099999999999998</v>
      </c>
      <c r="K53" s="13">
        <v>-2.09</v>
      </c>
      <c r="L53" s="13">
        <v>-2.11</v>
      </c>
      <c r="M53" s="13">
        <v>0.09</v>
      </c>
      <c r="N53" s="13">
        <v>0.13</v>
      </c>
      <c r="O53" s="13">
        <v>0.03</v>
      </c>
      <c r="P53" s="13">
        <v>11.039960000000001</v>
      </c>
      <c r="Q53" s="13">
        <v>8.4148899999999998</v>
      </c>
      <c r="R53" s="13">
        <v>14.35557</v>
      </c>
      <c r="S53" s="12">
        <v>52</v>
      </c>
      <c r="T53" s="13">
        <v>0.44340849999999998</v>
      </c>
      <c r="U53" s="13">
        <v>-2.1816689999999999</v>
      </c>
      <c r="V53" s="13">
        <v>3.8130639999999998</v>
      </c>
      <c r="W53">
        <v>79</v>
      </c>
      <c r="X53" s="11"/>
    </row>
    <row r="54" spans="1:24" x14ac:dyDescent="0.25">
      <c r="A54">
        <v>21142</v>
      </c>
      <c r="B54">
        <v>160</v>
      </c>
      <c r="C54" t="s">
        <v>83</v>
      </c>
      <c r="D54" s="11" t="s">
        <v>84</v>
      </c>
      <c r="E54" t="s">
        <v>76</v>
      </c>
      <c r="F54" t="s">
        <v>134</v>
      </c>
      <c r="G54" t="s">
        <v>79</v>
      </c>
      <c r="H54" s="13">
        <v>10.62</v>
      </c>
      <c r="I54" s="13">
        <v>-2.13</v>
      </c>
      <c r="J54" s="13">
        <v>-2.0099999999999998</v>
      </c>
      <c r="K54" s="13">
        <v>-2.08</v>
      </c>
      <c r="L54" s="13">
        <v>-2.06</v>
      </c>
      <c r="M54" s="13">
        <v>0.11</v>
      </c>
      <c r="N54" s="13">
        <v>0.14000000000000001</v>
      </c>
      <c r="O54" s="13">
        <v>-0.02</v>
      </c>
      <c r="P54" s="13">
        <v>11.07442</v>
      </c>
      <c r="Q54" s="13">
        <v>8.1317629999999994</v>
      </c>
      <c r="R54" s="13">
        <v>14.909129999999999</v>
      </c>
      <c r="S54" s="12">
        <v>53</v>
      </c>
      <c r="T54" s="13">
        <v>-0.12532989999999999</v>
      </c>
      <c r="U54" s="13">
        <v>-3.141194</v>
      </c>
      <c r="V54" s="13">
        <v>3.719776</v>
      </c>
      <c r="W54">
        <v>43</v>
      </c>
      <c r="X54" s="11"/>
    </row>
    <row r="55" spans="1:24" x14ac:dyDescent="0.25">
      <c r="A55">
        <v>11232</v>
      </c>
      <c r="B55">
        <v>440</v>
      </c>
      <c r="C55" t="s">
        <v>75</v>
      </c>
      <c r="D55" s="11" t="s">
        <v>84</v>
      </c>
      <c r="E55" t="s">
        <v>82</v>
      </c>
      <c r="F55" t="s">
        <v>133</v>
      </c>
      <c r="G55" t="s">
        <v>79</v>
      </c>
      <c r="H55" s="13">
        <v>11.59</v>
      </c>
      <c r="I55" s="13">
        <v>-2.04</v>
      </c>
      <c r="J55" s="13">
        <v>-2.0099999999999998</v>
      </c>
      <c r="K55" s="13">
        <v>-2.06</v>
      </c>
      <c r="L55" s="13">
        <v>-2.1</v>
      </c>
      <c r="M55" s="13">
        <v>0.08</v>
      </c>
      <c r="N55" s="13">
        <v>0.11</v>
      </c>
      <c r="O55" s="13">
        <v>0.03</v>
      </c>
      <c r="P55" s="13">
        <v>11.25864</v>
      </c>
      <c r="Q55" s="13">
        <v>8.8030830000000009</v>
      </c>
      <c r="R55" s="13">
        <v>14.2918</v>
      </c>
      <c r="S55" s="12">
        <v>54</v>
      </c>
      <c r="T55" s="13">
        <v>0.39625329999999997</v>
      </c>
      <c r="U55" s="13">
        <v>-2.1896550000000001</v>
      </c>
      <c r="V55" s="13">
        <v>3.332687</v>
      </c>
      <c r="W55">
        <v>75</v>
      </c>
      <c r="X55" s="11"/>
    </row>
    <row r="56" spans="1:24" x14ac:dyDescent="0.25">
      <c r="A56">
        <v>21211</v>
      </c>
      <c r="B56">
        <v>48</v>
      </c>
      <c r="C56" t="s">
        <v>83</v>
      </c>
      <c r="D56" s="11" t="s">
        <v>84</v>
      </c>
      <c r="E56" t="s">
        <v>82</v>
      </c>
      <c r="F56" t="s">
        <v>131</v>
      </c>
      <c r="G56" t="s">
        <v>78</v>
      </c>
      <c r="H56" s="13">
        <v>12.5</v>
      </c>
      <c r="I56" s="13">
        <v>-2</v>
      </c>
      <c r="J56" s="13">
        <v>-2.0099999999999998</v>
      </c>
      <c r="K56" s="13">
        <v>-2.04</v>
      </c>
      <c r="L56" s="13">
        <v>-2.0499999999999998</v>
      </c>
      <c r="M56" s="13">
        <v>0.13</v>
      </c>
      <c r="N56" s="13">
        <v>0.16</v>
      </c>
      <c r="O56" s="13">
        <v>0.01</v>
      </c>
      <c r="P56" s="13">
        <v>11.551460000000001</v>
      </c>
      <c r="Q56" s="13">
        <v>8.077337</v>
      </c>
      <c r="R56" s="13">
        <v>16.255600000000001</v>
      </c>
      <c r="S56" s="12">
        <v>55</v>
      </c>
      <c r="T56" s="13">
        <v>0.290211</v>
      </c>
      <c r="U56" s="13">
        <v>-3.4460899999999999</v>
      </c>
      <c r="V56" s="13">
        <v>4.8906580000000002</v>
      </c>
      <c r="W56">
        <v>70</v>
      </c>
      <c r="X56" s="11"/>
    </row>
    <row r="57" spans="1:24" x14ac:dyDescent="0.25">
      <c r="A57">
        <v>12162</v>
      </c>
      <c r="B57">
        <v>175</v>
      </c>
      <c r="C57" t="s">
        <v>75</v>
      </c>
      <c r="D57" s="11" t="s">
        <v>85</v>
      </c>
      <c r="E57" t="s">
        <v>76</v>
      </c>
      <c r="F57" t="s">
        <v>136</v>
      </c>
      <c r="G57" t="s">
        <v>79</v>
      </c>
      <c r="H57" s="13">
        <v>13.71</v>
      </c>
      <c r="I57" s="13">
        <v>-1.87</v>
      </c>
      <c r="J57" s="13">
        <v>-2.0099999999999998</v>
      </c>
      <c r="K57" s="13">
        <v>-2.0299999999999998</v>
      </c>
      <c r="L57" s="13">
        <v>-2.13</v>
      </c>
      <c r="M57" s="13">
        <v>0.09</v>
      </c>
      <c r="N57" s="13">
        <v>0.14000000000000001</v>
      </c>
      <c r="O57" s="13">
        <v>0.1</v>
      </c>
      <c r="P57" s="13">
        <v>11.571619999999999</v>
      </c>
      <c r="Q57" s="13">
        <v>8.6393079999999998</v>
      </c>
      <c r="R57" s="13">
        <v>15.33217</v>
      </c>
      <c r="S57" s="12">
        <v>56</v>
      </c>
      <c r="T57" s="13">
        <v>1.003306</v>
      </c>
      <c r="U57" s="13">
        <v>-1.8431759999999999</v>
      </c>
      <c r="V57" s="13">
        <v>4.882536</v>
      </c>
      <c r="W57">
        <v>97</v>
      </c>
      <c r="X57" s="11"/>
    </row>
    <row r="58" spans="1:24" x14ac:dyDescent="0.25">
      <c r="A58">
        <v>12171</v>
      </c>
      <c r="B58">
        <v>97</v>
      </c>
      <c r="C58" t="s">
        <v>75</v>
      </c>
      <c r="D58" s="11" t="s">
        <v>85</v>
      </c>
      <c r="E58" t="s">
        <v>76</v>
      </c>
      <c r="F58" t="s">
        <v>137</v>
      </c>
      <c r="G58" t="s">
        <v>78</v>
      </c>
      <c r="H58" s="13">
        <v>8.25</v>
      </c>
      <c r="I58" s="13">
        <v>-2.33</v>
      </c>
      <c r="J58" s="13">
        <v>-2.0099999999999998</v>
      </c>
      <c r="K58" s="13">
        <v>-2.0099999999999998</v>
      </c>
      <c r="L58" s="13">
        <v>-1.91</v>
      </c>
      <c r="M58" s="13">
        <v>0.09</v>
      </c>
      <c r="N58" s="13">
        <v>0.15</v>
      </c>
      <c r="O58" s="13">
        <v>-0.1</v>
      </c>
      <c r="P58" s="13">
        <v>11.81418</v>
      </c>
      <c r="Q58" s="13">
        <v>8.7286909999999995</v>
      </c>
      <c r="R58" s="13">
        <v>15.80151</v>
      </c>
      <c r="S58" s="12">
        <v>57</v>
      </c>
      <c r="T58" s="13">
        <v>-1.0238989999999999</v>
      </c>
      <c r="U58" s="13">
        <v>-4.1636829999999998</v>
      </c>
      <c r="V58" s="13">
        <v>2.7599819999999999</v>
      </c>
      <c r="W58">
        <v>14</v>
      </c>
      <c r="X58" s="11"/>
    </row>
    <row r="59" spans="1:24" x14ac:dyDescent="0.25">
      <c r="A59">
        <v>11172</v>
      </c>
      <c r="B59">
        <v>305</v>
      </c>
      <c r="C59" t="s">
        <v>75</v>
      </c>
      <c r="D59" s="11" t="s">
        <v>84</v>
      </c>
      <c r="E59" t="s">
        <v>76</v>
      </c>
      <c r="F59" t="s">
        <v>137</v>
      </c>
      <c r="G59" t="s">
        <v>79</v>
      </c>
      <c r="H59" s="13">
        <v>12.46</v>
      </c>
      <c r="I59" s="13">
        <v>-1.96</v>
      </c>
      <c r="J59" s="13">
        <v>-2.0099999999999998</v>
      </c>
      <c r="K59" s="13">
        <v>-2</v>
      </c>
      <c r="L59" s="13">
        <v>-2.0299999999999998</v>
      </c>
      <c r="M59" s="13">
        <v>0.08</v>
      </c>
      <c r="N59" s="13">
        <v>0.12</v>
      </c>
      <c r="O59" s="13">
        <v>0.04</v>
      </c>
      <c r="P59" s="13">
        <v>11.95307</v>
      </c>
      <c r="Q59" s="13">
        <v>9.2403479999999991</v>
      </c>
      <c r="R59" s="13">
        <v>15.32769</v>
      </c>
      <c r="S59" s="12">
        <v>58</v>
      </c>
      <c r="T59" s="13">
        <v>0.45384239999999998</v>
      </c>
      <c r="U59" s="13">
        <v>-2.5085570000000001</v>
      </c>
      <c r="V59" s="13">
        <v>3.7108050000000001</v>
      </c>
      <c r="W59">
        <v>80</v>
      </c>
      <c r="X59" s="11"/>
    </row>
    <row r="60" spans="1:24" x14ac:dyDescent="0.25">
      <c r="A60">
        <v>21132</v>
      </c>
      <c r="B60">
        <v>307</v>
      </c>
      <c r="C60" t="s">
        <v>83</v>
      </c>
      <c r="D60" s="11" t="s">
        <v>84</v>
      </c>
      <c r="E60" t="s">
        <v>76</v>
      </c>
      <c r="F60" t="s">
        <v>133</v>
      </c>
      <c r="G60" t="s">
        <v>79</v>
      </c>
      <c r="H60" s="13">
        <v>11.07</v>
      </c>
      <c r="I60" s="13">
        <v>-2.09</v>
      </c>
      <c r="J60" s="13">
        <v>-2.0099999999999998</v>
      </c>
      <c r="K60" s="13">
        <v>-1.98</v>
      </c>
      <c r="L60" s="13">
        <v>-1.88</v>
      </c>
      <c r="M60" s="13">
        <v>0.08</v>
      </c>
      <c r="N60" s="13">
        <v>0.12</v>
      </c>
      <c r="O60" s="13">
        <v>-0.1</v>
      </c>
      <c r="P60" s="13">
        <v>12.14559</v>
      </c>
      <c r="Q60" s="13">
        <v>9.3914120000000008</v>
      </c>
      <c r="R60" s="13">
        <v>15.56869</v>
      </c>
      <c r="S60" s="12">
        <v>59</v>
      </c>
      <c r="T60" s="13">
        <v>-1.0168060000000001</v>
      </c>
      <c r="U60" s="13">
        <v>-3.8767239999999998</v>
      </c>
      <c r="V60" s="13">
        <v>2.5038840000000002</v>
      </c>
      <c r="W60">
        <v>15</v>
      </c>
      <c r="X60" s="11"/>
    </row>
    <row r="61" spans="1:24" x14ac:dyDescent="0.25">
      <c r="A61">
        <v>12222</v>
      </c>
      <c r="B61">
        <v>332</v>
      </c>
      <c r="C61" t="s">
        <v>75</v>
      </c>
      <c r="D61" s="11" t="s">
        <v>85</v>
      </c>
      <c r="E61" t="s">
        <v>82</v>
      </c>
      <c r="F61" t="s">
        <v>132</v>
      </c>
      <c r="G61" t="s">
        <v>79</v>
      </c>
      <c r="H61" s="13">
        <v>11.14</v>
      </c>
      <c r="I61" s="13">
        <v>-2.08</v>
      </c>
      <c r="J61" s="13">
        <v>-2.0099999999999998</v>
      </c>
      <c r="K61" s="13">
        <v>-1.96</v>
      </c>
      <c r="L61" s="13">
        <v>-1.84</v>
      </c>
      <c r="M61" s="13">
        <v>0.09</v>
      </c>
      <c r="N61" s="13">
        <v>0.12</v>
      </c>
      <c r="O61" s="13">
        <v>-0.12</v>
      </c>
      <c r="P61" s="13">
        <v>12.3902</v>
      </c>
      <c r="Q61" s="13">
        <v>9.5776489999999992</v>
      </c>
      <c r="R61" s="13">
        <v>15.883599999999999</v>
      </c>
      <c r="S61" s="12">
        <v>60</v>
      </c>
      <c r="T61" s="13">
        <v>-1.301474</v>
      </c>
      <c r="U61" s="13">
        <v>-4.1279000000000003</v>
      </c>
      <c r="V61" s="13">
        <v>2.0059490000000002</v>
      </c>
      <c r="W61">
        <v>10</v>
      </c>
      <c r="X61" s="11"/>
    </row>
    <row r="62" spans="1:24" x14ac:dyDescent="0.25">
      <c r="A62">
        <v>21162</v>
      </c>
      <c r="B62">
        <v>224</v>
      </c>
      <c r="C62" t="s">
        <v>83</v>
      </c>
      <c r="D62" s="11" t="s">
        <v>84</v>
      </c>
      <c r="E62" t="s">
        <v>76</v>
      </c>
      <c r="F62" t="s">
        <v>136</v>
      </c>
      <c r="G62" t="s">
        <v>79</v>
      </c>
      <c r="H62" s="13">
        <v>11.61</v>
      </c>
      <c r="I62" s="13">
        <v>-2.04</v>
      </c>
      <c r="J62" s="13">
        <v>-2.0099999999999998</v>
      </c>
      <c r="K62" s="13">
        <v>-1.95</v>
      </c>
      <c r="L62" s="13">
        <v>-1.9</v>
      </c>
      <c r="M62" s="13">
        <v>0.09</v>
      </c>
      <c r="N62" s="13">
        <v>0.13</v>
      </c>
      <c r="O62" s="13">
        <v>-0.05</v>
      </c>
      <c r="P62" s="13">
        <v>12.401149999999999</v>
      </c>
      <c r="Q62" s="13">
        <v>9.3964970000000001</v>
      </c>
      <c r="R62" s="13">
        <v>16.194849999999999</v>
      </c>
      <c r="S62" s="12">
        <v>61</v>
      </c>
      <c r="T62" s="13">
        <v>-0.51212469999999999</v>
      </c>
      <c r="U62" s="13">
        <v>-3.5098509999999998</v>
      </c>
      <c r="V62" s="13">
        <v>3.375289</v>
      </c>
      <c r="W62">
        <v>21</v>
      </c>
      <c r="X62" s="11"/>
    </row>
    <row r="63" spans="1:24" x14ac:dyDescent="0.25">
      <c r="A63">
        <v>12261</v>
      </c>
      <c r="B63">
        <v>82</v>
      </c>
      <c r="C63" t="s">
        <v>75</v>
      </c>
      <c r="D63" s="11" t="s">
        <v>85</v>
      </c>
      <c r="E63" t="s">
        <v>82</v>
      </c>
      <c r="F63" t="s">
        <v>136</v>
      </c>
      <c r="G63" t="s">
        <v>78</v>
      </c>
      <c r="H63" s="13">
        <v>14.63</v>
      </c>
      <c r="I63" s="13">
        <v>-1.84</v>
      </c>
      <c r="J63" s="13">
        <v>-2.0099999999999998</v>
      </c>
      <c r="K63" s="13">
        <v>-1.95</v>
      </c>
      <c r="L63" s="13">
        <v>-2</v>
      </c>
      <c r="M63" s="13">
        <v>0.1</v>
      </c>
      <c r="N63" s="13">
        <v>0.15</v>
      </c>
      <c r="O63" s="13">
        <v>0.05</v>
      </c>
      <c r="P63" s="13">
        <v>12.470050000000001</v>
      </c>
      <c r="Q63" s="13">
        <v>9.1129049999999996</v>
      </c>
      <c r="R63" s="13">
        <v>16.834859999999999</v>
      </c>
      <c r="S63" s="12">
        <v>62</v>
      </c>
      <c r="T63" s="13">
        <v>0.62987539999999997</v>
      </c>
      <c r="U63" s="13">
        <v>-3.0107490000000001</v>
      </c>
      <c r="V63" s="13">
        <v>4.8449260000000001</v>
      </c>
      <c r="W63">
        <v>89</v>
      </c>
      <c r="X63" s="11"/>
    </row>
    <row r="64" spans="1:24" x14ac:dyDescent="0.25">
      <c r="A64">
        <v>22141</v>
      </c>
      <c r="B64">
        <v>54</v>
      </c>
      <c r="C64" t="s">
        <v>83</v>
      </c>
      <c r="D64" s="11" t="s">
        <v>85</v>
      </c>
      <c r="E64" t="s">
        <v>76</v>
      </c>
      <c r="F64" t="s">
        <v>134</v>
      </c>
      <c r="G64" t="s">
        <v>78</v>
      </c>
      <c r="H64" s="13">
        <v>12.96</v>
      </c>
      <c r="I64" s="13">
        <v>-1.97</v>
      </c>
      <c r="J64" s="13">
        <v>-2.0099999999999998</v>
      </c>
      <c r="K64" s="13">
        <v>-1.93</v>
      </c>
      <c r="L64" s="13">
        <v>-1.94</v>
      </c>
      <c r="M64" s="13">
        <v>0.11</v>
      </c>
      <c r="N64" s="13">
        <v>0.15</v>
      </c>
      <c r="O64" s="13">
        <v>0</v>
      </c>
      <c r="P64" s="13">
        <v>12.627330000000001</v>
      </c>
      <c r="Q64" s="13">
        <v>9.0536379999999994</v>
      </c>
      <c r="R64" s="13">
        <v>17.342659999999999</v>
      </c>
      <c r="S64" s="12">
        <v>63</v>
      </c>
      <c r="T64" s="13">
        <v>0.22485459999999999</v>
      </c>
      <c r="U64" s="13">
        <v>-3.6142059999999998</v>
      </c>
      <c r="V64" s="13">
        <v>4.5823640000000001</v>
      </c>
      <c r="W64">
        <v>63</v>
      </c>
      <c r="X64" s="11"/>
    </row>
    <row r="65" spans="1:24" x14ac:dyDescent="0.25">
      <c r="A65">
        <v>12231</v>
      </c>
      <c r="B65">
        <v>173</v>
      </c>
      <c r="C65" t="s">
        <v>75</v>
      </c>
      <c r="D65" s="11" t="s">
        <v>85</v>
      </c>
      <c r="E65" t="s">
        <v>82</v>
      </c>
      <c r="F65" t="s">
        <v>133</v>
      </c>
      <c r="G65" t="s">
        <v>78</v>
      </c>
      <c r="H65" s="13">
        <v>13.87</v>
      </c>
      <c r="I65" s="13">
        <v>-1.86</v>
      </c>
      <c r="J65" s="13">
        <v>-2.0099999999999998</v>
      </c>
      <c r="K65" s="13">
        <v>-1.93</v>
      </c>
      <c r="L65" s="13">
        <v>-1.98</v>
      </c>
      <c r="M65" s="13">
        <v>0.09</v>
      </c>
      <c r="N65" s="13">
        <v>0.13</v>
      </c>
      <c r="O65" s="13">
        <v>0.05</v>
      </c>
      <c r="P65" s="13">
        <v>12.723929999999999</v>
      </c>
      <c r="Q65" s="13">
        <v>9.6192139999999995</v>
      </c>
      <c r="R65" s="13">
        <v>16.646180000000001</v>
      </c>
      <c r="S65" s="12">
        <v>64</v>
      </c>
      <c r="T65" s="13">
        <v>0.63225750000000003</v>
      </c>
      <c r="U65" s="13">
        <v>-2.503819</v>
      </c>
      <c r="V65" s="13">
        <v>4.1692790000000004</v>
      </c>
      <c r="W65">
        <v>90</v>
      </c>
      <c r="X65" s="11"/>
    </row>
    <row r="66" spans="1:24" x14ac:dyDescent="0.25">
      <c r="A66">
        <v>21252</v>
      </c>
      <c r="B66">
        <v>322</v>
      </c>
      <c r="C66" t="s">
        <v>83</v>
      </c>
      <c r="D66" s="11" t="s">
        <v>84</v>
      </c>
      <c r="E66" t="s">
        <v>82</v>
      </c>
      <c r="F66" t="s">
        <v>135</v>
      </c>
      <c r="G66" t="s">
        <v>79</v>
      </c>
      <c r="H66" s="13">
        <v>13.66</v>
      </c>
      <c r="I66" s="13">
        <v>-1.86</v>
      </c>
      <c r="J66" s="13">
        <v>-2.0099999999999998</v>
      </c>
      <c r="K66" s="13">
        <v>-1.91</v>
      </c>
      <c r="L66" s="13">
        <v>-1.97</v>
      </c>
      <c r="M66" s="13">
        <v>0.09</v>
      </c>
      <c r="N66" s="13">
        <v>0.12</v>
      </c>
      <c r="O66" s="13">
        <v>0.06</v>
      </c>
      <c r="P66" s="13">
        <v>12.93305</v>
      </c>
      <c r="Q66" s="13">
        <v>9.9834519999999998</v>
      </c>
      <c r="R66" s="13">
        <v>16.593450000000001</v>
      </c>
      <c r="S66" s="12">
        <v>65</v>
      </c>
      <c r="T66" s="13">
        <v>0.67823040000000001</v>
      </c>
      <c r="U66" s="13">
        <v>-2.2261790000000001</v>
      </c>
      <c r="V66" s="13">
        <v>3.9115980000000001</v>
      </c>
      <c r="W66">
        <v>93</v>
      </c>
      <c r="X66" s="11"/>
    </row>
    <row r="67" spans="1:24" x14ac:dyDescent="0.25">
      <c r="A67">
        <v>12212</v>
      </c>
      <c r="B67">
        <v>110</v>
      </c>
      <c r="C67" t="s">
        <v>75</v>
      </c>
      <c r="D67" s="11" t="s">
        <v>85</v>
      </c>
      <c r="E67" t="s">
        <v>82</v>
      </c>
      <c r="F67" t="s">
        <v>131</v>
      </c>
      <c r="G67" t="s">
        <v>79</v>
      </c>
      <c r="H67" s="13">
        <v>15.45</v>
      </c>
      <c r="I67" s="13">
        <v>-1.77</v>
      </c>
      <c r="J67" s="13">
        <v>-2.0099999999999998</v>
      </c>
      <c r="K67" s="13">
        <v>-1.9</v>
      </c>
      <c r="L67" s="13">
        <v>-1.97</v>
      </c>
      <c r="M67" s="13">
        <v>0.12</v>
      </c>
      <c r="N67" s="13">
        <v>0.14000000000000001</v>
      </c>
      <c r="O67" s="13">
        <v>7.0000000000000007E-2</v>
      </c>
      <c r="P67" s="13">
        <v>12.99485</v>
      </c>
      <c r="Q67" s="13">
        <v>9.3330760000000001</v>
      </c>
      <c r="R67" s="13">
        <v>17.811060000000001</v>
      </c>
      <c r="S67" s="12">
        <v>66</v>
      </c>
      <c r="T67" s="13">
        <v>1.043031</v>
      </c>
      <c r="U67" s="13">
        <v>-2.8146879999999999</v>
      </c>
      <c r="V67" s="13">
        <v>5.7875759999999996</v>
      </c>
      <c r="W67">
        <v>98</v>
      </c>
      <c r="X67" s="11"/>
    </row>
    <row r="68" spans="1:24" x14ac:dyDescent="0.25">
      <c r="A68">
        <v>22121</v>
      </c>
      <c r="B68">
        <v>73</v>
      </c>
      <c r="C68" t="s">
        <v>83</v>
      </c>
      <c r="D68" s="11" t="s">
        <v>85</v>
      </c>
      <c r="E68" t="s">
        <v>76</v>
      </c>
      <c r="F68" t="s">
        <v>132</v>
      </c>
      <c r="G68" t="s">
        <v>78</v>
      </c>
      <c r="H68" s="13">
        <v>15.07</v>
      </c>
      <c r="I68" s="13">
        <v>-1.82</v>
      </c>
      <c r="J68" s="13">
        <v>-2.0099999999999998</v>
      </c>
      <c r="K68" s="13">
        <v>-1.89</v>
      </c>
      <c r="L68" s="13">
        <v>-1.93</v>
      </c>
      <c r="M68" s="13">
        <v>0.1</v>
      </c>
      <c r="N68" s="13">
        <v>0.15</v>
      </c>
      <c r="O68" s="13">
        <v>0.04</v>
      </c>
      <c r="P68" s="13">
        <v>13.13678</v>
      </c>
      <c r="Q68" s="13">
        <v>9.6205010000000009</v>
      </c>
      <c r="R68" s="13">
        <v>17.68675</v>
      </c>
      <c r="S68" s="12">
        <v>67</v>
      </c>
      <c r="T68" s="13">
        <v>0.4847458</v>
      </c>
      <c r="U68" s="13">
        <v>-3.1155529999999998</v>
      </c>
      <c r="V68" s="13">
        <v>4.7493790000000002</v>
      </c>
      <c r="W68">
        <v>81</v>
      </c>
      <c r="X68" s="11"/>
    </row>
    <row r="69" spans="1:24" x14ac:dyDescent="0.25">
      <c r="A69">
        <v>12242</v>
      </c>
      <c r="B69">
        <v>100</v>
      </c>
      <c r="C69" t="s">
        <v>75</v>
      </c>
      <c r="D69" s="11" t="s">
        <v>85</v>
      </c>
      <c r="E69" t="s">
        <v>82</v>
      </c>
      <c r="F69" t="s">
        <v>134</v>
      </c>
      <c r="G69" t="s">
        <v>79</v>
      </c>
      <c r="H69" s="13">
        <v>12</v>
      </c>
      <c r="I69" s="13">
        <v>-2.02</v>
      </c>
      <c r="J69" s="13">
        <v>-2.0099999999999998</v>
      </c>
      <c r="K69" s="13">
        <v>-1.88</v>
      </c>
      <c r="L69" s="13">
        <v>-1.85</v>
      </c>
      <c r="M69" s="13">
        <v>0.11</v>
      </c>
      <c r="N69" s="13">
        <v>0.14000000000000001</v>
      </c>
      <c r="O69" s="13">
        <v>-0.04</v>
      </c>
      <c r="P69" s="13">
        <v>13.193379999999999</v>
      </c>
      <c r="Q69" s="13">
        <v>9.6419829999999997</v>
      </c>
      <c r="R69" s="13">
        <v>17.79523</v>
      </c>
      <c r="S69" s="12">
        <v>68</v>
      </c>
      <c r="T69" s="13">
        <v>-0.2473805</v>
      </c>
      <c r="U69" s="13">
        <v>-4.1613150000000001</v>
      </c>
      <c r="V69" s="13">
        <v>3.9566659999999998</v>
      </c>
      <c r="W69">
        <v>35</v>
      </c>
      <c r="X69" s="11"/>
    </row>
    <row r="70" spans="1:24" x14ac:dyDescent="0.25">
      <c r="A70">
        <v>21241</v>
      </c>
      <c r="B70">
        <v>70</v>
      </c>
      <c r="C70" t="s">
        <v>83</v>
      </c>
      <c r="D70" s="11" t="s">
        <v>84</v>
      </c>
      <c r="E70" t="s">
        <v>82</v>
      </c>
      <c r="F70" t="s">
        <v>134</v>
      </c>
      <c r="G70" t="s">
        <v>78</v>
      </c>
      <c r="H70" s="13">
        <v>15.71</v>
      </c>
      <c r="I70" s="13">
        <v>-1.78</v>
      </c>
      <c r="J70" s="13">
        <v>-2.0099999999999998</v>
      </c>
      <c r="K70" s="13">
        <v>-1.88</v>
      </c>
      <c r="L70" s="13">
        <v>-1.92</v>
      </c>
      <c r="M70" s="13">
        <v>0.11</v>
      </c>
      <c r="N70" s="13">
        <v>0.15</v>
      </c>
      <c r="O70" s="13">
        <v>0.05</v>
      </c>
      <c r="P70" s="13">
        <v>13.276289999999999</v>
      </c>
      <c r="Q70" s="13">
        <v>9.6131679999999999</v>
      </c>
      <c r="R70" s="13">
        <v>18.05641</v>
      </c>
      <c r="S70" s="12">
        <v>69</v>
      </c>
      <c r="T70" s="13">
        <v>0.73200200000000004</v>
      </c>
      <c r="U70" s="13">
        <v>-3.2612809999999999</v>
      </c>
      <c r="V70" s="13">
        <v>5.4863840000000001</v>
      </c>
      <c r="W70">
        <v>94</v>
      </c>
      <c r="X70" s="11"/>
    </row>
    <row r="71" spans="1:24" x14ac:dyDescent="0.25">
      <c r="A71">
        <v>21221</v>
      </c>
      <c r="B71">
        <v>177</v>
      </c>
      <c r="C71" t="s">
        <v>83</v>
      </c>
      <c r="D71" s="11" t="s">
        <v>84</v>
      </c>
      <c r="E71" t="s">
        <v>82</v>
      </c>
      <c r="F71" t="s">
        <v>132</v>
      </c>
      <c r="G71" t="s">
        <v>78</v>
      </c>
      <c r="H71" s="13">
        <v>14.12</v>
      </c>
      <c r="I71" s="13">
        <v>-1.84</v>
      </c>
      <c r="J71" s="13">
        <v>-2.0099999999999998</v>
      </c>
      <c r="K71" s="13">
        <v>-1.87</v>
      </c>
      <c r="L71" s="13">
        <v>-1.91</v>
      </c>
      <c r="M71" s="13">
        <v>0.09</v>
      </c>
      <c r="N71" s="13">
        <v>0.13</v>
      </c>
      <c r="O71" s="13">
        <v>0.04</v>
      </c>
      <c r="P71" s="13">
        <v>13.30907</v>
      </c>
      <c r="Q71" s="13">
        <v>10.045310000000001</v>
      </c>
      <c r="R71" s="13">
        <v>17.427800000000001</v>
      </c>
      <c r="S71" s="12">
        <v>70</v>
      </c>
      <c r="T71" s="13">
        <v>0.55006809999999995</v>
      </c>
      <c r="U71" s="13">
        <v>-2.9801669999999998</v>
      </c>
      <c r="V71" s="13">
        <v>4.4940020000000001</v>
      </c>
      <c r="W71">
        <v>85</v>
      </c>
      <c r="X71" s="11"/>
    </row>
    <row r="72" spans="1:24" x14ac:dyDescent="0.25">
      <c r="A72">
        <v>22131</v>
      </c>
      <c r="B72">
        <v>130</v>
      </c>
      <c r="C72" t="s">
        <v>83</v>
      </c>
      <c r="D72" s="11" t="s">
        <v>85</v>
      </c>
      <c r="E72" t="s">
        <v>76</v>
      </c>
      <c r="F72" t="s">
        <v>133</v>
      </c>
      <c r="G72" t="s">
        <v>78</v>
      </c>
      <c r="H72" s="13">
        <v>10.77</v>
      </c>
      <c r="I72" s="13">
        <v>-2.12</v>
      </c>
      <c r="J72" s="13">
        <v>-2.0099999999999998</v>
      </c>
      <c r="K72" s="13">
        <v>-1.86</v>
      </c>
      <c r="L72" s="13">
        <v>-1.76</v>
      </c>
      <c r="M72" s="13">
        <v>0.09</v>
      </c>
      <c r="N72" s="13">
        <v>0.14000000000000001</v>
      </c>
      <c r="O72" s="13">
        <v>-0.1</v>
      </c>
      <c r="P72" s="13">
        <v>13.46433</v>
      </c>
      <c r="Q72" s="13">
        <v>10.098330000000001</v>
      </c>
      <c r="R72" s="13">
        <v>17.731010000000001</v>
      </c>
      <c r="S72" s="12">
        <v>71</v>
      </c>
      <c r="T72" s="13">
        <v>-1.0997220000000001</v>
      </c>
      <c r="U72" s="13">
        <v>-4.3890229999999999</v>
      </c>
      <c r="V72" s="13">
        <v>2.707322</v>
      </c>
      <c r="W72">
        <v>13</v>
      </c>
      <c r="X72" s="11"/>
    </row>
    <row r="73" spans="1:24" x14ac:dyDescent="0.25">
      <c r="A73">
        <v>22161</v>
      </c>
      <c r="B73">
        <v>66</v>
      </c>
      <c r="C73" t="s">
        <v>83</v>
      </c>
      <c r="D73" s="11" t="s">
        <v>85</v>
      </c>
      <c r="E73" t="s">
        <v>76</v>
      </c>
      <c r="F73" t="s">
        <v>136</v>
      </c>
      <c r="G73" t="s">
        <v>78</v>
      </c>
      <c r="H73" s="13">
        <v>10.61</v>
      </c>
      <c r="I73" s="13">
        <v>-2.12</v>
      </c>
      <c r="J73" s="13">
        <v>-2.0099999999999998</v>
      </c>
      <c r="K73" s="13">
        <v>-1.84</v>
      </c>
      <c r="L73" s="13">
        <v>-1.78</v>
      </c>
      <c r="M73" s="13">
        <v>0.1</v>
      </c>
      <c r="N73" s="13">
        <v>0.15</v>
      </c>
      <c r="O73" s="13">
        <v>-0.06</v>
      </c>
      <c r="P73" s="13">
        <v>13.72696</v>
      </c>
      <c r="Q73" s="13">
        <v>10.02069</v>
      </c>
      <c r="R73" s="13">
        <v>18.521850000000001</v>
      </c>
      <c r="S73" s="12">
        <v>72</v>
      </c>
      <c r="T73" s="13">
        <v>-0.37140269999999997</v>
      </c>
      <c r="U73" s="13">
        <v>-4.1447729999999998</v>
      </c>
      <c r="V73" s="13">
        <v>4.42441</v>
      </c>
      <c r="W73">
        <v>30</v>
      </c>
      <c r="X73" s="11"/>
    </row>
    <row r="74" spans="1:24" x14ac:dyDescent="0.25">
      <c r="A74">
        <v>22251</v>
      </c>
      <c r="B74">
        <v>134</v>
      </c>
      <c r="C74" t="s">
        <v>83</v>
      </c>
      <c r="D74" s="11" t="s">
        <v>85</v>
      </c>
      <c r="E74" t="s">
        <v>82</v>
      </c>
      <c r="F74" t="s">
        <v>135</v>
      </c>
      <c r="G74" t="s">
        <v>78</v>
      </c>
      <c r="H74" s="13">
        <v>14.18</v>
      </c>
      <c r="I74" s="13">
        <v>-1.85</v>
      </c>
      <c r="J74" s="13">
        <v>-2.0099999999999998</v>
      </c>
      <c r="K74" s="13">
        <v>-1.83</v>
      </c>
      <c r="L74" s="13">
        <v>-1.84</v>
      </c>
      <c r="M74" s="13">
        <v>0.1</v>
      </c>
      <c r="N74" s="13">
        <v>0.14000000000000001</v>
      </c>
      <c r="O74" s="13">
        <v>0.01</v>
      </c>
      <c r="P74" s="13">
        <v>13.78656</v>
      </c>
      <c r="Q74" s="13">
        <v>10.295339999999999</v>
      </c>
      <c r="R74" s="13">
        <v>18.22119</v>
      </c>
      <c r="S74" s="12">
        <v>73</v>
      </c>
      <c r="T74" s="13">
        <v>0.26990310000000001</v>
      </c>
      <c r="U74" s="13">
        <v>-3.248637</v>
      </c>
      <c r="V74" s="13">
        <v>4.486364</v>
      </c>
      <c r="W74">
        <v>68</v>
      </c>
      <c r="X74" s="11"/>
    </row>
    <row r="75" spans="1:24" x14ac:dyDescent="0.25">
      <c r="A75">
        <v>21212</v>
      </c>
      <c r="B75">
        <v>120</v>
      </c>
      <c r="C75" t="s">
        <v>83</v>
      </c>
      <c r="D75" s="11" t="s">
        <v>84</v>
      </c>
      <c r="E75" t="s">
        <v>82</v>
      </c>
      <c r="F75" t="s">
        <v>131</v>
      </c>
      <c r="G75" t="s">
        <v>79</v>
      </c>
      <c r="H75" s="13">
        <v>11.67</v>
      </c>
      <c r="I75" s="13">
        <v>-2.04</v>
      </c>
      <c r="J75" s="13">
        <v>-2.0099999999999998</v>
      </c>
      <c r="K75" s="13">
        <v>-1.82</v>
      </c>
      <c r="L75" s="13">
        <v>-1.74</v>
      </c>
      <c r="M75" s="13">
        <v>0.12</v>
      </c>
      <c r="N75" s="13">
        <v>0.14000000000000001</v>
      </c>
      <c r="O75" s="13">
        <v>-0.08</v>
      </c>
      <c r="P75" s="13">
        <v>13.94497</v>
      </c>
      <c r="Q75" s="13">
        <v>10.097519999999999</v>
      </c>
      <c r="R75" s="13">
        <v>18.949400000000001</v>
      </c>
      <c r="S75" s="12">
        <v>74</v>
      </c>
      <c r="T75" s="13">
        <v>-0.65505749999999996</v>
      </c>
      <c r="U75" s="13">
        <v>-4.7794590000000001</v>
      </c>
      <c r="V75" s="13">
        <v>4.117248</v>
      </c>
      <c r="W75">
        <v>18</v>
      </c>
      <c r="X75" s="11"/>
    </row>
    <row r="76" spans="1:24" x14ac:dyDescent="0.25">
      <c r="A76">
        <v>22112</v>
      </c>
      <c r="B76">
        <v>45</v>
      </c>
      <c r="C76" t="s">
        <v>83</v>
      </c>
      <c r="D76" s="11" t="s">
        <v>85</v>
      </c>
      <c r="E76" t="s">
        <v>76</v>
      </c>
      <c r="F76" t="s">
        <v>131</v>
      </c>
      <c r="G76" t="s">
        <v>79</v>
      </c>
      <c r="H76" s="13">
        <v>11.11</v>
      </c>
      <c r="I76" s="13">
        <v>-2.08</v>
      </c>
      <c r="J76" s="13">
        <v>-2.0099999999999998</v>
      </c>
      <c r="K76" s="13">
        <v>-1.8</v>
      </c>
      <c r="L76" s="13">
        <v>-1.76</v>
      </c>
      <c r="M76" s="13">
        <v>0.13</v>
      </c>
      <c r="N76" s="13">
        <v>0.15</v>
      </c>
      <c r="O76" s="13">
        <v>-0.04</v>
      </c>
      <c r="P76" s="13">
        <v>14.21776</v>
      </c>
      <c r="Q76" s="13">
        <v>10.066979999999999</v>
      </c>
      <c r="R76" s="13">
        <v>19.704999999999998</v>
      </c>
      <c r="S76" s="12">
        <v>75</v>
      </c>
      <c r="T76" s="13">
        <v>-0.3935573</v>
      </c>
      <c r="U76" s="13">
        <v>-4.6430389999999999</v>
      </c>
      <c r="V76" s="13">
        <v>5.2342919999999999</v>
      </c>
      <c r="W76">
        <v>28</v>
      </c>
      <c r="X76" s="11"/>
    </row>
    <row r="77" spans="1:24" x14ac:dyDescent="0.25">
      <c r="A77">
        <v>12262</v>
      </c>
      <c r="B77">
        <v>222</v>
      </c>
      <c r="C77" t="s">
        <v>75</v>
      </c>
      <c r="D77" s="11" t="s">
        <v>85</v>
      </c>
      <c r="E77" t="s">
        <v>82</v>
      </c>
      <c r="F77" t="s">
        <v>136</v>
      </c>
      <c r="G77" t="s">
        <v>79</v>
      </c>
      <c r="H77" s="13">
        <v>12.61</v>
      </c>
      <c r="I77" s="13">
        <v>-1.96</v>
      </c>
      <c r="J77" s="13">
        <v>-2.0099999999999998</v>
      </c>
      <c r="K77" s="13">
        <v>-1.79</v>
      </c>
      <c r="L77" s="13">
        <v>-1.69</v>
      </c>
      <c r="M77" s="13">
        <v>0.09</v>
      </c>
      <c r="N77" s="13">
        <v>0.13</v>
      </c>
      <c r="O77" s="13">
        <v>-0.1</v>
      </c>
      <c r="P77" s="13">
        <v>14.24912</v>
      </c>
      <c r="Q77" s="13">
        <v>10.90846</v>
      </c>
      <c r="R77" s="13">
        <v>18.401540000000001</v>
      </c>
      <c r="S77" s="12">
        <v>76</v>
      </c>
      <c r="T77" s="13">
        <v>-1.324703</v>
      </c>
      <c r="U77" s="13">
        <v>-4.8433270000000004</v>
      </c>
      <c r="V77" s="13">
        <v>2.6693120000000001</v>
      </c>
      <c r="W77">
        <v>9</v>
      </c>
      <c r="X77" s="11"/>
    </row>
    <row r="78" spans="1:24" x14ac:dyDescent="0.25">
      <c r="A78">
        <v>12232</v>
      </c>
      <c r="B78">
        <v>306</v>
      </c>
      <c r="C78" t="s">
        <v>75</v>
      </c>
      <c r="D78" s="11" t="s">
        <v>85</v>
      </c>
      <c r="E78" t="s">
        <v>82</v>
      </c>
      <c r="F78" t="s">
        <v>133</v>
      </c>
      <c r="G78" t="s">
        <v>79</v>
      </c>
      <c r="H78" s="13">
        <v>13.07</v>
      </c>
      <c r="I78" s="13">
        <v>-1.91</v>
      </c>
      <c r="J78" s="13">
        <v>-2.0099999999999998</v>
      </c>
      <c r="K78" s="13">
        <v>-1.79</v>
      </c>
      <c r="L78" s="13">
        <v>-1.67</v>
      </c>
      <c r="M78" s="13">
        <v>0.08</v>
      </c>
      <c r="N78" s="13">
        <v>0.12</v>
      </c>
      <c r="O78" s="13">
        <v>-0.11</v>
      </c>
      <c r="P78" s="13">
        <v>14.36206</v>
      </c>
      <c r="Q78" s="13">
        <v>11.2371</v>
      </c>
      <c r="R78" s="13">
        <v>18.178059999999999</v>
      </c>
      <c r="S78" s="12">
        <v>77</v>
      </c>
      <c r="T78" s="13">
        <v>-1.3684460000000001</v>
      </c>
      <c r="U78" s="13">
        <v>-4.5098940000000001</v>
      </c>
      <c r="V78" s="13">
        <v>2.506964</v>
      </c>
      <c r="W78">
        <v>7</v>
      </c>
      <c r="X78" s="11"/>
    </row>
    <row r="79" spans="1:24" x14ac:dyDescent="0.25">
      <c r="A79">
        <v>22152</v>
      </c>
      <c r="B79">
        <v>201</v>
      </c>
      <c r="C79" t="s">
        <v>83</v>
      </c>
      <c r="D79" s="11" t="s">
        <v>85</v>
      </c>
      <c r="E79" t="s">
        <v>76</v>
      </c>
      <c r="F79" t="s">
        <v>135</v>
      </c>
      <c r="G79" t="s">
        <v>79</v>
      </c>
      <c r="H79" s="13">
        <v>18.41</v>
      </c>
      <c r="I79" s="13">
        <v>-1.55</v>
      </c>
      <c r="J79" s="13">
        <v>-2.0099999999999998</v>
      </c>
      <c r="K79" s="13">
        <v>-1.77</v>
      </c>
      <c r="L79" s="13">
        <v>-1.98</v>
      </c>
      <c r="M79" s="13">
        <v>0.09</v>
      </c>
      <c r="N79" s="13">
        <v>0.13</v>
      </c>
      <c r="O79" s="13">
        <v>0.21</v>
      </c>
      <c r="P79" s="13">
        <v>14.533379999999999</v>
      </c>
      <c r="Q79" s="13">
        <v>11.08914</v>
      </c>
      <c r="R79" s="13">
        <v>18.82095</v>
      </c>
      <c r="S79" s="12">
        <v>78</v>
      </c>
      <c r="T79" s="13">
        <v>2.6399550000000001</v>
      </c>
      <c r="U79" s="13">
        <v>-1.0219590000000001</v>
      </c>
      <c r="V79" s="13">
        <v>6.811477</v>
      </c>
      <c r="W79">
        <v>107</v>
      </c>
      <c r="X79" s="11"/>
    </row>
    <row r="80" spans="1:24" x14ac:dyDescent="0.25">
      <c r="A80">
        <v>21242</v>
      </c>
      <c r="B80">
        <v>119</v>
      </c>
      <c r="C80" t="s">
        <v>83</v>
      </c>
      <c r="D80" s="11" t="s">
        <v>84</v>
      </c>
      <c r="E80" t="s">
        <v>82</v>
      </c>
      <c r="F80" t="s">
        <v>134</v>
      </c>
      <c r="G80" t="s">
        <v>79</v>
      </c>
      <c r="H80" s="13">
        <v>10.08</v>
      </c>
      <c r="I80" s="13">
        <v>-2.17</v>
      </c>
      <c r="J80" s="13">
        <v>-2.0099999999999998</v>
      </c>
      <c r="K80" s="13">
        <v>-1.77</v>
      </c>
      <c r="L80" s="13">
        <v>-1.62</v>
      </c>
      <c r="M80" s="13">
        <v>0.11</v>
      </c>
      <c r="N80" s="13">
        <v>0.14000000000000001</v>
      </c>
      <c r="O80" s="13">
        <v>-0.15</v>
      </c>
      <c r="P80" s="13">
        <v>14.58653</v>
      </c>
      <c r="Q80" s="13">
        <v>10.804489999999999</v>
      </c>
      <c r="R80" s="13">
        <v>19.404440000000001</v>
      </c>
      <c r="S80" s="12">
        <v>79</v>
      </c>
      <c r="T80" s="13">
        <v>-1.8142990000000001</v>
      </c>
      <c r="U80" s="13">
        <v>-5.8638529999999998</v>
      </c>
      <c r="V80" s="13">
        <v>2.8147340000000001</v>
      </c>
      <c r="W80">
        <v>6</v>
      </c>
      <c r="X80" s="11"/>
    </row>
    <row r="81" spans="1:24" x14ac:dyDescent="0.25">
      <c r="A81">
        <v>21231</v>
      </c>
      <c r="B81">
        <v>249</v>
      </c>
      <c r="C81" t="s">
        <v>83</v>
      </c>
      <c r="D81" s="11" t="s">
        <v>84</v>
      </c>
      <c r="E81" t="s">
        <v>82</v>
      </c>
      <c r="F81" t="s">
        <v>133</v>
      </c>
      <c r="G81" t="s">
        <v>78</v>
      </c>
      <c r="H81" s="13">
        <v>14.46</v>
      </c>
      <c r="I81" s="13">
        <v>-1.81</v>
      </c>
      <c r="J81" s="13">
        <v>-2.0099999999999998</v>
      </c>
      <c r="K81" s="13">
        <v>-1.76</v>
      </c>
      <c r="L81" s="13">
        <v>-1.74</v>
      </c>
      <c r="M81" s="13">
        <v>0.09</v>
      </c>
      <c r="N81" s="13">
        <v>0.12</v>
      </c>
      <c r="O81" s="13">
        <v>-0.02</v>
      </c>
      <c r="P81" s="13">
        <v>14.647500000000001</v>
      </c>
      <c r="Q81" s="13">
        <v>11.363</v>
      </c>
      <c r="R81" s="13">
        <v>18.6813</v>
      </c>
      <c r="S81" s="12">
        <v>80</v>
      </c>
      <c r="T81" s="13">
        <v>-0.16586039999999999</v>
      </c>
      <c r="U81" s="13">
        <v>-3.3426309999999999</v>
      </c>
      <c r="V81" s="13">
        <v>3.4527929999999998</v>
      </c>
      <c r="W81">
        <v>41</v>
      </c>
      <c r="X81" s="11"/>
    </row>
    <row r="82" spans="1:24" x14ac:dyDescent="0.25">
      <c r="A82">
        <v>21261</v>
      </c>
      <c r="B82">
        <v>104</v>
      </c>
      <c r="C82" t="s">
        <v>83</v>
      </c>
      <c r="D82" s="11" t="s">
        <v>84</v>
      </c>
      <c r="E82" t="s">
        <v>82</v>
      </c>
      <c r="F82" t="s">
        <v>136</v>
      </c>
      <c r="G82" t="s">
        <v>78</v>
      </c>
      <c r="H82" s="13">
        <v>15.38</v>
      </c>
      <c r="I82" s="13">
        <v>-1.78</v>
      </c>
      <c r="J82" s="13">
        <v>-2.0099999999999998</v>
      </c>
      <c r="K82" s="13">
        <v>-1.75</v>
      </c>
      <c r="L82" s="13">
        <v>-1.76</v>
      </c>
      <c r="M82" s="13">
        <v>0.1</v>
      </c>
      <c r="N82" s="13">
        <v>0.14000000000000001</v>
      </c>
      <c r="O82" s="13">
        <v>0.01</v>
      </c>
      <c r="P82" s="13">
        <v>14.808400000000001</v>
      </c>
      <c r="Q82" s="13">
        <v>11.02858</v>
      </c>
      <c r="R82" s="13">
        <v>19.598320000000001</v>
      </c>
      <c r="S82" s="12">
        <v>81</v>
      </c>
      <c r="T82" s="13">
        <v>0.37336350000000001</v>
      </c>
      <c r="U82" s="13">
        <v>-3.739868</v>
      </c>
      <c r="V82" s="13">
        <v>5.111567</v>
      </c>
      <c r="W82">
        <v>72</v>
      </c>
      <c r="X82" s="11"/>
    </row>
    <row r="83" spans="1:24" x14ac:dyDescent="0.25">
      <c r="A83">
        <v>21171</v>
      </c>
      <c r="B83">
        <v>160</v>
      </c>
      <c r="C83" t="s">
        <v>83</v>
      </c>
      <c r="D83" s="11" t="s">
        <v>84</v>
      </c>
      <c r="E83" t="s">
        <v>76</v>
      </c>
      <c r="F83" t="s">
        <v>137</v>
      </c>
      <c r="G83" t="s">
        <v>78</v>
      </c>
      <c r="H83" s="13">
        <v>15.62</v>
      </c>
      <c r="I83" s="13">
        <v>-1.74</v>
      </c>
      <c r="J83" s="13">
        <v>-2.0099999999999998</v>
      </c>
      <c r="K83" s="13">
        <v>-1.68</v>
      </c>
      <c r="L83" s="13">
        <v>-1.68</v>
      </c>
      <c r="M83" s="13">
        <v>0.09</v>
      </c>
      <c r="N83" s="13">
        <v>0.13</v>
      </c>
      <c r="O83" s="13">
        <v>0</v>
      </c>
      <c r="P83" s="13">
        <v>15.64561</v>
      </c>
      <c r="Q83" s="13">
        <v>11.98189</v>
      </c>
      <c r="R83" s="13">
        <v>20.17285</v>
      </c>
      <c r="S83" s="12">
        <v>82</v>
      </c>
      <c r="T83" s="13">
        <v>0.16128400000000001</v>
      </c>
      <c r="U83" s="13">
        <v>-3.9995560000000001</v>
      </c>
      <c r="V83" s="13">
        <v>4.7768090000000001</v>
      </c>
      <c r="W83">
        <v>59</v>
      </c>
      <c r="X83" s="11"/>
    </row>
    <row r="84" spans="1:24" x14ac:dyDescent="0.25">
      <c r="A84">
        <v>22211</v>
      </c>
      <c r="B84">
        <v>36</v>
      </c>
      <c r="C84" t="s">
        <v>83</v>
      </c>
      <c r="D84" s="11" t="s">
        <v>85</v>
      </c>
      <c r="E84" t="s">
        <v>82</v>
      </c>
      <c r="F84" t="s">
        <v>131</v>
      </c>
      <c r="G84" t="s">
        <v>78</v>
      </c>
      <c r="H84" s="13">
        <v>11.11</v>
      </c>
      <c r="I84" s="13">
        <v>-2.08</v>
      </c>
      <c r="J84" s="13">
        <v>-2.0099999999999998</v>
      </c>
      <c r="K84" s="13">
        <v>-1.67</v>
      </c>
      <c r="L84" s="13">
        <v>-1.62</v>
      </c>
      <c r="M84" s="13">
        <v>0.13</v>
      </c>
      <c r="N84" s="13">
        <v>0.16</v>
      </c>
      <c r="O84" s="13">
        <v>-0.05</v>
      </c>
      <c r="P84" s="13">
        <v>15.871869999999999</v>
      </c>
      <c r="Q84" s="13">
        <v>11.26276</v>
      </c>
      <c r="R84" s="13">
        <v>21.90164</v>
      </c>
      <c r="S84" s="12">
        <v>83</v>
      </c>
      <c r="T84" s="13">
        <v>-0.51333640000000003</v>
      </c>
      <c r="U84" s="13">
        <v>-5.1014229999999996</v>
      </c>
      <c r="V84" s="13">
        <v>5.227976</v>
      </c>
      <c r="W84">
        <v>20</v>
      </c>
      <c r="X84" s="11"/>
    </row>
    <row r="85" spans="1:24" x14ac:dyDescent="0.25">
      <c r="A85">
        <v>12271</v>
      </c>
      <c r="B85">
        <v>206</v>
      </c>
      <c r="C85" t="s">
        <v>75</v>
      </c>
      <c r="D85" s="11" t="s">
        <v>85</v>
      </c>
      <c r="E85" t="s">
        <v>82</v>
      </c>
      <c r="F85" t="s">
        <v>137</v>
      </c>
      <c r="G85" t="s">
        <v>78</v>
      </c>
      <c r="H85" s="13">
        <v>12.62</v>
      </c>
      <c r="I85" s="13">
        <v>-1.96</v>
      </c>
      <c r="J85" s="13">
        <v>-2.0099999999999998</v>
      </c>
      <c r="K85" s="13">
        <v>-1.66</v>
      </c>
      <c r="L85" s="13">
        <v>-1.47</v>
      </c>
      <c r="M85" s="13">
        <v>0.08</v>
      </c>
      <c r="N85" s="13">
        <v>0.13</v>
      </c>
      <c r="O85" s="13">
        <v>-0.19</v>
      </c>
      <c r="P85" s="13">
        <v>15.947380000000001</v>
      </c>
      <c r="Q85" s="13">
        <v>12.370990000000001</v>
      </c>
      <c r="R85" s="13">
        <v>20.317959999999999</v>
      </c>
      <c r="S85" s="12">
        <v>84</v>
      </c>
      <c r="T85" s="13">
        <v>-2.680345</v>
      </c>
      <c r="U85" s="13">
        <v>-6.2173999999999996</v>
      </c>
      <c r="V85" s="13">
        <v>1.2857860000000001</v>
      </c>
      <c r="W85">
        <v>3</v>
      </c>
      <c r="X85" s="11"/>
    </row>
    <row r="86" spans="1:24" x14ac:dyDescent="0.25">
      <c r="A86">
        <v>21222</v>
      </c>
      <c r="B86">
        <v>324</v>
      </c>
      <c r="C86" t="s">
        <v>83</v>
      </c>
      <c r="D86" s="11" t="s">
        <v>84</v>
      </c>
      <c r="E86" t="s">
        <v>82</v>
      </c>
      <c r="F86" t="s">
        <v>132</v>
      </c>
      <c r="G86" t="s">
        <v>79</v>
      </c>
      <c r="H86" s="13">
        <v>15.74</v>
      </c>
      <c r="I86" s="13">
        <v>-1.71</v>
      </c>
      <c r="J86" s="13">
        <v>-2.0099999999999998</v>
      </c>
      <c r="K86" s="13">
        <v>-1.65</v>
      </c>
      <c r="L86" s="13">
        <v>-1.6</v>
      </c>
      <c r="M86" s="13">
        <v>0.09</v>
      </c>
      <c r="N86" s="13">
        <v>0.11</v>
      </c>
      <c r="O86" s="13">
        <v>-0.04</v>
      </c>
      <c r="P86" s="13">
        <v>16.153929999999999</v>
      </c>
      <c r="Q86" s="13">
        <v>12.73076</v>
      </c>
      <c r="R86" s="13">
        <v>20.283619999999999</v>
      </c>
      <c r="S86" s="12">
        <v>85</v>
      </c>
      <c r="T86" s="13">
        <v>-0.44875860000000001</v>
      </c>
      <c r="U86" s="13">
        <v>-3.889078</v>
      </c>
      <c r="V86" s="13">
        <v>3.6078039999999998</v>
      </c>
      <c r="W86">
        <v>24</v>
      </c>
      <c r="X86" s="11"/>
    </row>
    <row r="87" spans="1:24" x14ac:dyDescent="0.25">
      <c r="A87">
        <v>12172</v>
      </c>
      <c r="B87">
        <v>208</v>
      </c>
      <c r="C87" t="s">
        <v>75</v>
      </c>
      <c r="D87" s="11" t="s">
        <v>85</v>
      </c>
      <c r="E87" t="s">
        <v>76</v>
      </c>
      <c r="F87" t="s">
        <v>137</v>
      </c>
      <c r="G87" t="s">
        <v>79</v>
      </c>
      <c r="H87" s="13">
        <v>16.350000000000001</v>
      </c>
      <c r="I87" s="13">
        <v>-1.68</v>
      </c>
      <c r="J87" s="13">
        <v>-2.0099999999999998</v>
      </c>
      <c r="K87" s="13">
        <v>-1.62</v>
      </c>
      <c r="L87" s="13">
        <v>-1.61</v>
      </c>
      <c r="M87" s="13">
        <v>0.08</v>
      </c>
      <c r="N87" s="13">
        <v>0.12</v>
      </c>
      <c r="O87" s="13">
        <v>-0.01</v>
      </c>
      <c r="P87" s="13">
        <v>16.511970000000002</v>
      </c>
      <c r="Q87" s="13">
        <v>12.85371</v>
      </c>
      <c r="R87" s="13">
        <v>20.96097</v>
      </c>
      <c r="S87" s="12">
        <v>86</v>
      </c>
      <c r="T87" s="13">
        <v>-0.10714220000000001</v>
      </c>
      <c r="U87" s="13">
        <v>-4.0644429999999998</v>
      </c>
      <c r="V87" s="13">
        <v>4.3741450000000004</v>
      </c>
      <c r="W87">
        <v>44</v>
      </c>
      <c r="X87" s="11"/>
    </row>
    <row r="88" spans="1:24" x14ac:dyDescent="0.25">
      <c r="A88">
        <v>11272</v>
      </c>
      <c r="B88">
        <v>488</v>
      </c>
      <c r="C88" t="s">
        <v>75</v>
      </c>
      <c r="D88" s="11" t="s">
        <v>84</v>
      </c>
      <c r="E88" t="s">
        <v>82</v>
      </c>
      <c r="F88" t="s">
        <v>137</v>
      </c>
      <c r="G88" t="s">
        <v>79</v>
      </c>
      <c r="H88" s="13">
        <v>16.39</v>
      </c>
      <c r="I88" s="13">
        <v>-1.65</v>
      </c>
      <c r="J88" s="13">
        <v>-2.0099999999999998</v>
      </c>
      <c r="K88" s="13">
        <v>-1.62</v>
      </c>
      <c r="L88" s="13">
        <v>-1.59</v>
      </c>
      <c r="M88" s="13">
        <v>0.08</v>
      </c>
      <c r="N88" s="13">
        <v>0.1</v>
      </c>
      <c r="O88" s="13">
        <v>-0.03</v>
      </c>
      <c r="P88" s="13">
        <v>16.548100000000002</v>
      </c>
      <c r="Q88" s="13">
        <v>13.396369999999999</v>
      </c>
      <c r="R88" s="13">
        <v>20.267800000000001</v>
      </c>
      <c r="S88" s="12">
        <v>87</v>
      </c>
      <c r="T88" s="13">
        <v>-0.39066659999999997</v>
      </c>
      <c r="U88" s="13">
        <v>-3.808306</v>
      </c>
      <c r="V88" s="13">
        <v>3.1448100000000001</v>
      </c>
      <c r="W88">
        <v>29</v>
      </c>
      <c r="X88" s="11"/>
    </row>
    <row r="89" spans="1:24" x14ac:dyDescent="0.25">
      <c r="A89">
        <v>22142</v>
      </c>
      <c r="B89">
        <v>133</v>
      </c>
      <c r="C89" t="s">
        <v>83</v>
      </c>
      <c r="D89" s="11" t="s">
        <v>85</v>
      </c>
      <c r="E89" t="s">
        <v>76</v>
      </c>
      <c r="F89" t="s">
        <v>134</v>
      </c>
      <c r="G89" t="s">
        <v>79</v>
      </c>
      <c r="H89" s="13">
        <v>18.05</v>
      </c>
      <c r="I89" s="13">
        <v>-1.59</v>
      </c>
      <c r="J89" s="13">
        <v>-2.0099999999999998</v>
      </c>
      <c r="K89" s="13">
        <v>-1.59</v>
      </c>
      <c r="L89" s="13">
        <v>-1.63</v>
      </c>
      <c r="M89" s="13">
        <v>0.11</v>
      </c>
      <c r="N89" s="13">
        <v>0.13</v>
      </c>
      <c r="O89" s="13">
        <v>0.04</v>
      </c>
      <c r="P89" s="13">
        <v>16.89198</v>
      </c>
      <c r="Q89" s="13">
        <v>12.691140000000001</v>
      </c>
      <c r="R89" s="13">
        <v>22.130859999999998</v>
      </c>
      <c r="S89" s="12">
        <v>88</v>
      </c>
      <c r="T89" s="13">
        <v>0.50120540000000002</v>
      </c>
      <c r="U89" s="13">
        <v>-3.7210529999999999</v>
      </c>
      <c r="V89" s="13">
        <v>5.612724</v>
      </c>
      <c r="W89">
        <v>82</v>
      </c>
      <c r="X89" s="11"/>
    </row>
    <row r="90" spans="1:24" x14ac:dyDescent="0.25">
      <c r="A90">
        <v>21172</v>
      </c>
      <c r="B90">
        <v>282</v>
      </c>
      <c r="C90" t="s">
        <v>83</v>
      </c>
      <c r="D90" s="11" t="s">
        <v>84</v>
      </c>
      <c r="E90" t="s">
        <v>76</v>
      </c>
      <c r="F90" t="s">
        <v>137</v>
      </c>
      <c r="G90" t="s">
        <v>79</v>
      </c>
      <c r="H90" s="13">
        <v>15.6</v>
      </c>
      <c r="I90" s="13">
        <v>-1.72</v>
      </c>
      <c r="J90" s="13">
        <v>-2.0099999999999998</v>
      </c>
      <c r="K90" s="13">
        <v>-1.54</v>
      </c>
      <c r="L90" s="13">
        <v>-1.38</v>
      </c>
      <c r="M90" s="13">
        <v>0.08</v>
      </c>
      <c r="N90" s="13">
        <v>0.11</v>
      </c>
      <c r="O90" s="13">
        <v>-0.16</v>
      </c>
      <c r="P90" s="13">
        <v>17.65718</v>
      </c>
      <c r="Q90" s="13">
        <v>14.01422</v>
      </c>
      <c r="R90" s="13">
        <v>22.004770000000001</v>
      </c>
      <c r="S90" s="12">
        <v>89</v>
      </c>
      <c r="T90" s="13">
        <v>-2.4353419999999999</v>
      </c>
      <c r="U90" s="13">
        <v>-5.9177400000000002</v>
      </c>
      <c r="V90" s="13">
        <v>1.6171549999999999</v>
      </c>
      <c r="W90">
        <v>4</v>
      </c>
      <c r="X90" s="11"/>
    </row>
    <row r="91" spans="1:24" x14ac:dyDescent="0.25">
      <c r="A91">
        <v>11271</v>
      </c>
      <c r="B91">
        <v>251</v>
      </c>
      <c r="C91" t="s">
        <v>75</v>
      </c>
      <c r="D91" s="11" t="s">
        <v>84</v>
      </c>
      <c r="E91" t="s">
        <v>82</v>
      </c>
      <c r="F91" t="s">
        <v>137</v>
      </c>
      <c r="G91" t="s">
        <v>78</v>
      </c>
      <c r="H91" s="13">
        <v>23.11</v>
      </c>
      <c r="I91" s="13">
        <v>-1.26</v>
      </c>
      <c r="J91" s="13">
        <v>-2.0099999999999998</v>
      </c>
      <c r="K91" s="13">
        <v>-1.53</v>
      </c>
      <c r="L91" s="13">
        <v>-1.9</v>
      </c>
      <c r="M91" s="13">
        <v>0.08</v>
      </c>
      <c r="N91" s="13">
        <v>0.12</v>
      </c>
      <c r="O91" s="13">
        <v>0.36</v>
      </c>
      <c r="P91" s="13">
        <v>17.77609</v>
      </c>
      <c r="Q91" s="13">
        <v>14.03429</v>
      </c>
      <c r="R91" s="13">
        <v>22.25723</v>
      </c>
      <c r="S91" s="12">
        <v>90</v>
      </c>
      <c r="T91" s="13">
        <v>4.7626609999999996</v>
      </c>
      <c r="U91" s="13">
        <v>0.8649559</v>
      </c>
      <c r="V91" s="13">
        <v>9.4807419999999993</v>
      </c>
      <c r="W91">
        <v>111</v>
      </c>
      <c r="X91" s="11"/>
    </row>
    <row r="92" spans="1:24" x14ac:dyDescent="0.25">
      <c r="A92">
        <v>22122</v>
      </c>
      <c r="B92">
        <v>214</v>
      </c>
      <c r="C92" t="s">
        <v>83</v>
      </c>
      <c r="D92" s="11" t="s">
        <v>85</v>
      </c>
      <c r="E92" t="s">
        <v>76</v>
      </c>
      <c r="F92" t="s">
        <v>132</v>
      </c>
      <c r="G92" t="s">
        <v>79</v>
      </c>
      <c r="H92" s="13">
        <v>19.63</v>
      </c>
      <c r="I92" s="13">
        <v>-1.47</v>
      </c>
      <c r="J92" s="13">
        <v>-2.0099999999999998</v>
      </c>
      <c r="K92" s="13">
        <v>-1.52</v>
      </c>
      <c r="L92" s="13">
        <v>-1.62</v>
      </c>
      <c r="M92" s="13">
        <v>0.09</v>
      </c>
      <c r="N92" s="13">
        <v>0.12</v>
      </c>
      <c r="O92" s="13">
        <v>0.1</v>
      </c>
      <c r="P92" s="13">
        <v>17.902989999999999</v>
      </c>
      <c r="Q92" s="13">
        <v>13.958500000000001</v>
      </c>
      <c r="R92" s="13">
        <v>22.668469999999999</v>
      </c>
      <c r="S92" s="12">
        <v>91</v>
      </c>
      <c r="T92" s="13">
        <v>1.5482050000000001</v>
      </c>
      <c r="U92" s="13">
        <v>-2.7344729999999999</v>
      </c>
      <c r="V92" s="13">
        <v>6.1691250000000002</v>
      </c>
      <c r="W92">
        <v>103</v>
      </c>
      <c r="X92" s="11"/>
    </row>
    <row r="93" spans="1:24" x14ac:dyDescent="0.25">
      <c r="A93">
        <v>21262</v>
      </c>
      <c r="B93">
        <v>265</v>
      </c>
      <c r="C93" t="s">
        <v>83</v>
      </c>
      <c r="D93" s="11" t="s">
        <v>84</v>
      </c>
      <c r="E93" t="s">
        <v>82</v>
      </c>
      <c r="F93" t="s">
        <v>136</v>
      </c>
      <c r="G93" t="s">
        <v>79</v>
      </c>
      <c r="H93" s="13">
        <v>17.36</v>
      </c>
      <c r="I93" s="13">
        <v>-1.6</v>
      </c>
      <c r="J93" s="13">
        <v>-2.0099999999999998</v>
      </c>
      <c r="K93" s="13">
        <v>-1.51</v>
      </c>
      <c r="L93" s="13">
        <v>-1.46</v>
      </c>
      <c r="M93" s="13">
        <v>0.09</v>
      </c>
      <c r="N93" s="13">
        <v>0.12</v>
      </c>
      <c r="O93" s="13">
        <v>-0.05</v>
      </c>
      <c r="P93" s="13">
        <v>18.046209999999999</v>
      </c>
      <c r="Q93" s="13">
        <v>14.18167</v>
      </c>
      <c r="R93" s="13">
        <v>22.685459999999999</v>
      </c>
      <c r="S93" s="12">
        <v>92</v>
      </c>
      <c r="T93" s="13">
        <v>-0.71980350000000004</v>
      </c>
      <c r="U93" s="13">
        <v>-4.3360070000000004</v>
      </c>
      <c r="V93" s="13">
        <v>3.7919670000000001</v>
      </c>
      <c r="W93">
        <v>16</v>
      </c>
      <c r="X93" s="11"/>
    </row>
    <row r="94" spans="1:24" x14ac:dyDescent="0.25">
      <c r="A94">
        <v>12272</v>
      </c>
      <c r="B94">
        <v>356</v>
      </c>
      <c r="C94" t="s">
        <v>75</v>
      </c>
      <c r="D94" s="11" t="s">
        <v>85</v>
      </c>
      <c r="E94" t="s">
        <v>82</v>
      </c>
      <c r="F94" t="s">
        <v>137</v>
      </c>
      <c r="G94" t="s">
        <v>79</v>
      </c>
      <c r="H94" s="13">
        <v>15.17</v>
      </c>
      <c r="I94" s="13">
        <v>-1.75</v>
      </c>
      <c r="J94" s="13">
        <v>-2.0099999999999998</v>
      </c>
      <c r="K94" s="13">
        <v>-1.49</v>
      </c>
      <c r="L94" s="13">
        <v>-1.1599999999999999</v>
      </c>
      <c r="M94" s="13">
        <v>0.08</v>
      </c>
      <c r="N94" s="13">
        <v>0.11</v>
      </c>
      <c r="O94" s="13">
        <v>-0.32</v>
      </c>
      <c r="P94" s="13">
        <v>18.418869999999998</v>
      </c>
      <c r="Q94" s="13">
        <v>14.81737</v>
      </c>
      <c r="R94" s="13">
        <v>22.662859999999998</v>
      </c>
      <c r="S94" s="12">
        <v>93</v>
      </c>
      <c r="T94" s="13">
        <v>-5.2565309999999998</v>
      </c>
      <c r="U94" s="13">
        <v>-8.987724</v>
      </c>
      <c r="V94" s="13">
        <v>-1.25728</v>
      </c>
      <c r="W94">
        <v>1</v>
      </c>
      <c r="X94" s="11"/>
    </row>
    <row r="95" spans="1:24" x14ac:dyDescent="0.25">
      <c r="A95">
        <v>22241</v>
      </c>
      <c r="B95">
        <v>52</v>
      </c>
      <c r="C95" t="s">
        <v>83</v>
      </c>
      <c r="D95" s="11" t="s">
        <v>85</v>
      </c>
      <c r="E95" t="s">
        <v>82</v>
      </c>
      <c r="F95" t="s">
        <v>134</v>
      </c>
      <c r="G95" t="s">
        <v>78</v>
      </c>
      <c r="H95" s="13">
        <v>21.15</v>
      </c>
      <c r="I95" s="13">
        <v>-1.52</v>
      </c>
      <c r="J95" s="13">
        <v>-2.0099999999999998</v>
      </c>
      <c r="K95" s="13">
        <v>-1.46</v>
      </c>
      <c r="L95" s="13">
        <v>-1.49</v>
      </c>
      <c r="M95" s="13">
        <v>0.11</v>
      </c>
      <c r="N95" s="13">
        <v>0.15</v>
      </c>
      <c r="O95" s="13">
        <v>0.03</v>
      </c>
      <c r="P95" s="13">
        <v>18.810220000000001</v>
      </c>
      <c r="Q95" s="13">
        <v>13.852080000000001</v>
      </c>
      <c r="R95" s="13">
        <v>25.027470000000001</v>
      </c>
      <c r="S95" s="12">
        <v>94</v>
      </c>
      <c r="T95" s="13">
        <v>0.66893060000000004</v>
      </c>
      <c r="U95" s="13">
        <v>-4.6574229999999996</v>
      </c>
      <c r="V95" s="13">
        <v>7.1138539999999999</v>
      </c>
      <c r="W95">
        <v>91</v>
      </c>
      <c r="X95" s="11"/>
    </row>
    <row r="96" spans="1:24" x14ac:dyDescent="0.25">
      <c r="A96">
        <v>22231</v>
      </c>
      <c r="B96">
        <v>160</v>
      </c>
      <c r="C96" t="s">
        <v>83</v>
      </c>
      <c r="D96" s="11" t="s">
        <v>85</v>
      </c>
      <c r="E96" t="s">
        <v>82</v>
      </c>
      <c r="F96" t="s">
        <v>133</v>
      </c>
      <c r="G96" t="s">
        <v>78</v>
      </c>
      <c r="H96" s="13">
        <v>15.62</v>
      </c>
      <c r="I96" s="13">
        <v>-1.74</v>
      </c>
      <c r="J96" s="13">
        <v>-2.0099999999999998</v>
      </c>
      <c r="K96" s="13">
        <v>-1.46</v>
      </c>
      <c r="L96" s="13">
        <v>-1.32</v>
      </c>
      <c r="M96" s="13">
        <v>0.09</v>
      </c>
      <c r="N96" s="13">
        <v>0.13</v>
      </c>
      <c r="O96" s="13">
        <v>-0.14000000000000001</v>
      </c>
      <c r="P96" s="13">
        <v>18.817540000000001</v>
      </c>
      <c r="Q96" s="13">
        <v>14.613720000000001</v>
      </c>
      <c r="R96" s="13">
        <v>23.89227</v>
      </c>
      <c r="S96" s="12">
        <v>95</v>
      </c>
      <c r="T96" s="13">
        <v>-2.2463980000000001</v>
      </c>
      <c r="U96" s="13">
        <v>-6.9540150000000001</v>
      </c>
      <c r="V96" s="13">
        <v>2.7385410000000001</v>
      </c>
      <c r="W96">
        <v>5</v>
      </c>
      <c r="X96" s="11"/>
    </row>
    <row r="97" spans="1:24" x14ac:dyDescent="0.25">
      <c r="A97">
        <v>22252</v>
      </c>
      <c r="B97">
        <v>278</v>
      </c>
      <c r="C97" t="s">
        <v>83</v>
      </c>
      <c r="D97" s="11" t="s">
        <v>85</v>
      </c>
      <c r="E97" t="s">
        <v>82</v>
      </c>
      <c r="F97" t="s">
        <v>135</v>
      </c>
      <c r="G97" t="s">
        <v>79</v>
      </c>
      <c r="H97" s="13">
        <v>20.5</v>
      </c>
      <c r="I97" s="13">
        <v>-1.4</v>
      </c>
      <c r="J97" s="13">
        <v>-2.0099999999999998</v>
      </c>
      <c r="K97" s="13">
        <v>-1.44</v>
      </c>
      <c r="L97" s="13">
        <v>-1.54</v>
      </c>
      <c r="M97" s="13">
        <v>0.09</v>
      </c>
      <c r="N97" s="13">
        <v>0.11</v>
      </c>
      <c r="O97" s="13">
        <v>0.1</v>
      </c>
      <c r="P97" s="13">
        <v>19.151910000000001</v>
      </c>
      <c r="Q97" s="13">
        <v>15.14457</v>
      </c>
      <c r="R97" s="13">
        <v>23.92071</v>
      </c>
      <c r="S97" s="12">
        <v>96</v>
      </c>
      <c r="T97" s="13">
        <v>1.543658</v>
      </c>
      <c r="U97" s="13">
        <v>-2.552883</v>
      </c>
      <c r="V97" s="13">
        <v>6.2072659999999997</v>
      </c>
      <c r="W97">
        <v>102</v>
      </c>
      <c r="X97" s="11"/>
    </row>
    <row r="98" spans="1:24" x14ac:dyDescent="0.25">
      <c r="A98">
        <v>22221</v>
      </c>
      <c r="B98">
        <v>111</v>
      </c>
      <c r="C98" t="s">
        <v>83</v>
      </c>
      <c r="D98" s="11" t="s">
        <v>85</v>
      </c>
      <c r="E98" t="s">
        <v>82</v>
      </c>
      <c r="F98" t="s">
        <v>132</v>
      </c>
      <c r="G98" t="s">
        <v>78</v>
      </c>
      <c r="H98" s="13">
        <v>22.52</v>
      </c>
      <c r="I98" s="13">
        <v>-1.35</v>
      </c>
      <c r="J98" s="13">
        <v>-2.0099999999999998</v>
      </c>
      <c r="K98" s="13">
        <v>-1.4</v>
      </c>
      <c r="L98" s="13">
        <v>-1.48</v>
      </c>
      <c r="M98" s="13">
        <v>0.09</v>
      </c>
      <c r="N98" s="13">
        <v>0.14000000000000001</v>
      </c>
      <c r="O98" s="13">
        <v>0.08</v>
      </c>
      <c r="P98" s="13">
        <v>19.767679999999999</v>
      </c>
      <c r="Q98" s="13">
        <v>15.12861</v>
      </c>
      <c r="R98" s="13">
        <v>25.403500000000001</v>
      </c>
      <c r="S98" s="12">
        <v>97</v>
      </c>
      <c r="T98" s="13">
        <v>1.348668</v>
      </c>
      <c r="U98" s="13">
        <v>-3.513306</v>
      </c>
      <c r="V98" s="13">
        <v>7.0081009999999999</v>
      </c>
      <c r="W98">
        <v>101</v>
      </c>
      <c r="X98" s="11"/>
    </row>
    <row r="99" spans="1:24" x14ac:dyDescent="0.25">
      <c r="A99">
        <v>21232</v>
      </c>
      <c r="B99">
        <v>379</v>
      </c>
      <c r="C99" t="s">
        <v>83</v>
      </c>
      <c r="D99" s="11" t="s">
        <v>84</v>
      </c>
      <c r="E99" t="s">
        <v>82</v>
      </c>
      <c r="F99" t="s">
        <v>133</v>
      </c>
      <c r="G99" t="s">
        <v>79</v>
      </c>
      <c r="H99" s="13">
        <v>20.84</v>
      </c>
      <c r="I99" s="13">
        <v>-1.37</v>
      </c>
      <c r="J99" s="13">
        <v>-2.0099999999999998</v>
      </c>
      <c r="K99" s="13">
        <v>-1.38</v>
      </c>
      <c r="L99" s="13">
        <v>-1.44</v>
      </c>
      <c r="M99" s="13">
        <v>0.08</v>
      </c>
      <c r="N99" s="13">
        <v>0.1</v>
      </c>
      <c r="O99" s="13">
        <v>0.06</v>
      </c>
      <c r="P99" s="13">
        <v>20.178609999999999</v>
      </c>
      <c r="Q99" s="13">
        <v>16.365310000000001</v>
      </c>
      <c r="R99" s="13">
        <v>24.61889</v>
      </c>
      <c r="S99" s="12">
        <v>98</v>
      </c>
      <c r="T99" s="13">
        <v>1.0786</v>
      </c>
      <c r="U99" s="13">
        <v>-2.6396000000000002</v>
      </c>
      <c r="V99" s="13">
        <v>5.6425989999999997</v>
      </c>
      <c r="W99">
        <v>99</v>
      </c>
      <c r="X99" s="11"/>
    </row>
    <row r="100" spans="1:24" x14ac:dyDescent="0.25">
      <c r="A100">
        <v>22162</v>
      </c>
      <c r="B100">
        <v>170</v>
      </c>
      <c r="C100" t="s">
        <v>83</v>
      </c>
      <c r="D100" s="11" t="s">
        <v>85</v>
      </c>
      <c r="E100" t="s">
        <v>76</v>
      </c>
      <c r="F100" t="s">
        <v>136</v>
      </c>
      <c r="G100" t="s">
        <v>79</v>
      </c>
      <c r="H100" s="13">
        <v>22.94</v>
      </c>
      <c r="I100" s="13">
        <v>-1.29</v>
      </c>
      <c r="J100" s="13">
        <v>-2.0099999999999998</v>
      </c>
      <c r="K100" s="13">
        <v>-1.36</v>
      </c>
      <c r="L100" s="13">
        <v>-1.47</v>
      </c>
      <c r="M100" s="13">
        <v>0.09</v>
      </c>
      <c r="N100" s="13">
        <v>0.13</v>
      </c>
      <c r="O100" s="13">
        <v>0.11</v>
      </c>
      <c r="P100" s="13">
        <v>20.427679999999999</v>
      </c>
      <c r="Q100" s="13">
        <v>15.914720000000001</v>
      </c>
      <c r="R100" s="13">
        <v>25.827290000000001</v>
      </c>
      <c r="S100" s="12">
        <v>99</v>
      </c>
      <c r="T100" s="13">
        <v>1.982397</v>
      </c>
      <c r="U100" s="13">
        <v>-2.6773500000000001</v>
      </c>
      <c r="V100" s="13">
        <v>7.2515210000000003</v>
      </c>
      <c r="W100">
        <v>104</v>
      </c>
      <c r="X100" s="11"/>
    </row>
    <row r="101" spans="1:24" x14ac:dyDescent="0.25">
      <c r="A101">
        <v>22132</v>
      </c>
      <c r="B101">
        <v>243</v>
      </c>
      <c r="C101" t="s">
        <v>83</v>
      </c>
      <c r="D101" s="11" t="s">
        <v>85</v>
      </c>
      <c r="E101" t="s">
        <v>76</v>
      </c>
      <c r="F101" t="s">
        <v>133</v>
      </c>
      <c r="G101" t="s">
        <v>79</v>
      </c>
      <c r="H101" s="13">
        <v>22.63</v>
      </c>
      <c r="I101" s="13">
        <v>-1.29</v>
      </c>
      <c r="J101" s="13">
        <v>-2.0099999999999998</v>
      </c>
      <c r="K101" s="13">
        <v>-1.34</v>
      </c>
      <c r="L101" s="13">
        <v>-1.46</v>
      </c>
      <c r="M101" s="13">
        <v>0.08</v>
      </c>
      <c r="N101" s="13">
        <v>0.11</v>
      </c>
      <c r="O101" s="13">
        <v>0.12</v>
      </c>
      <c r="P101" s="13">
        <v>20.80227</v>
      </c>
      <c r="Q101" s="13">
        <v>16.58465</v>
      </c>
      <c r="R101" s="13">
        <v>25.761230000000001</v>
      </c>
      <c r="S101" s="12">
        <v>100</v>
      </c>
      <c r="T101" s="13">
        <v>1.9972490000000001</v>
      </c>
      <c r="U101" s="13">
        <v>-2.3899520000000001</v>
      </c>
      <c r="V101" s="13">
        <v>6.5870559999999996</v>
      </c>
      <c r="W101">
        <v>105</v>
      </c>
      <c r="X101" s="11"/>
    </row>
    <row r="102" spans="1:24" x14ac:dyDescent="0.25">
      <c r="A102">
        <v>22261</v>
      </c>
      <c r="B102">
        <v>82</v>
      </c>
      <c r="C102" t="s">
        <v>83</v>
      </c>
      <c r="D102" s="11" t="s">
        <v>85</v>
      </c>
      <c r="E102" t="s">
        <v>82</v>
      </c>
      <c r="F102" t="s">
        <v>136</v>
      </c>
      <c r="G102" t="s">
        <v>78</v>
      </c>
      <c r="H102" s="13">
        <v>21.95</v>
      </c>
      <c r="I102" s="13">
        <v>-1.42</v>
      </c>
      <c r="J102" s="13">
        <v>-2.0099999999999998</v>
      </c>
      <c r="K102" s="13">
        <v>-1.32</v>
      </c>
      <c r="L102" s="13">
        <v>-1.34</v>
      </c>
      <c r="M102" s="13">
        <v>0.1</v>
      </c>
      <c r="N102" s="13">
        <v>0.14000000000000001</v>
      </c>
      <c r="O102" s="13">
        <v>0.02</v>
      </c>
      <c r="P102" s="13">
        <v>21.098220000000001</v>
      </c>
      <c r="Q102" s="13">
        <v>16.028739999999999</v>
      </c>
      <c r="R102" s="13">
        <v>27.25074</v>
      </c>
      <c r="S102" s="12">
        <v>101</v>
      </c>
      <c r="T102" s="13">
        <v>0.38096669999999999</v>
      </c>
      <c r="U102" s="13">
        <v>-5.0857099999999997</v>
      </c>
      <c r="V102" s="13">
        <v>6.5056019999999997</v>
      </c>
      <c r="W102">
        <v>73</v>
      </c>
      <c r="X102" s="11"/>
    </row>
    <row r="103" spans="1:24" x14ac:dyDescent="0.25">
      <c r="A103">
        <v>22212</v>
      </c>
      <c r="B103">
        <v>88</v>
      </c>
      <c r="C103" t="s">
        <v>83</v>
      </c>
      <c r="D103" s="11" t="s">
        <v>85</v>
      </c>
      <c r="E103" t="s">
        <v>82</v>
      </c>
      <c r="F103" t="s">
        <v>131</v>
      </c>
      <c r="G103" t="s">
        <v>79</v>
      </c>
      <c r="H103" s="13">
        <v>22.73</v>
      </c>
      <c r="I103" s="13">
        <v>-1.37</v>
      </c>
      <c r="J103" s="13">
        <v>-2.0099999999999998</v>
      </c>
      <c r="K103" s="13">
        <v>-1.29</v>
      </c>
      <c r="L103" s="13">
        <v>-1.31</v>
      </c>
      <c r="M103" s="13">
        <v>0.12</v>
      </c>
      <c r="N103" s="13">
        <v>0.14000000000000001</v>
      </c>
      <c r="O103" s="13">
        <v>0.03</v>
      </c>
      <c r="P103" s="13">
        <v>21.602180000000001</v>
      </c>
      <c r="Q103" s="13">
        <v>16.05997</v>
      </c>
      <c r="R103" s="13">
        <v>28.409680000000002</v>
      </c>
      <c r="S103" s="12">
        <v>102</v>
      </c>
      <c r="T103" s="13">
        <v>0.54034079999999995</v>
      </c>
      <c r="U103" s="13">
        <v>-5.3122689999999997</v>
      </c>
      <c r="V103" s="13">
        <v>6.8704549999999998</v>
      </c>
      <c r="W103">
        <v>83</v>
      </c>
      <c r="X103" s="11"/>
    </row>
    <row r="104" spans="1:24" x14ac:dyDescent="0.25">
      <c r="A104">
        <v>22171</v>
      </c>
      <c r="B104">
        <v>96</v>
      </c>
      <c r="C104" t="s">
        <v>83</v>
      </c>
      <c r="D104" s="11" t="s">
        <v>85</v>
      </c>
      <c r="E104" t="s">
        <v>76</v>
      </c>
      <c r="F104" t="s">
        <v>137</v>
      </c>
      <c r="G104" t="s">
        <v>78</v>
      </c>
      <c r="H104" s="13">
        <v>23.96</v>
      </c>
      <c r="I104" s="13">
        <v>-1.29</v>
      </c>
      <c r="J104" s="13">
        <v>-2.0099999999999998</v>
      </c>
      <c r="K104" s="13">
        <v>-1.22</v>
      </c>
      <c r="L104" s="13">
        <v>-1.25</v>
      </c>
      <c r="M104" s="13">
        <v>0.09</v>
      </c>
      <c r="N104" s="13">
        <v>0.14000000000000001</v>
      </c>
      <c r="O104" s="13">
        <v>0.03</v>
      </c>
      <c r="P104" s="13">
        <v>22.740449999999999</v>
      </c>
      <c r="Q104" s="13">
        <v>17.625579999999999</v>
      </c>
      <c r="R104" s="13">
        <v>28.820319999999999</v>
      </c>
      <c r="S104" s="12">
        <v>103</v>
      </c>
      <c r="T104" s="13">
        <v>0.62156319999999998</v>
      </c>
      <c r="U104" s="13">
        <v>-4.5234829999999997</v>
      </c>
      <c r="V104" s="13">
        <v>6.8140999999999998</v>
      </c>
      <c r="W104">
        <v>88</v>
      </c>
      <c r="X104" s="11"/>
    </row>
    <row r="105" spans="1:24" x14ac:dyDescent="0.25">
      <c r="A105">
        <v>22222</v>
      </c>
      <c r="B105">
        <v>302</v>
      </c>
      <c r="C105" t="s">
        <v>83</v>
      </c>
      <c r="D105" s="11" t="s">
        <v>85</v>
      </c>
      <c r="E105" t="s">
        <v>82</v>
      </c>
      <c r="F105" t="s">
        <v>132</v>
      </c>
      <c r="G105" t="s">
        <v>79</v>
      </c>
      <c r="H105" s="13">
        <v>22.85</v>
      </c>
      <c r="I105" s="13">
        <v>-1.26</v>
      </c>
      <c r="J105" s="13">
        <v>-2.0099999999999998</v>
      </c>
      <c r="K105" s="13">
        <v>-1.2</v>
      </c>
      <c r="L105" s="13">
        <v>-1.18</v>
      </c>
      <c r="M105" s="13">
        <v>0.09</v>
      </c>
      <c r="N105" s="13">
        <v>0.11</v>
      </c>
      <c r="O105" s="13">
        <v>-0.03</v>
      </c>
      <c r="P105" s="13">
        <v>23.099889999999998</v>
      </c>
      <c r="Q105" s="13">
        <v>18.690629999999999</v>
      </c>
      <c r="R105" s="13">
        <v>28.18871</v>
      </c>
      <c r="S105" s="12">
        <v>104</v>
      </c>
      <c r="T105" s="13">
        <v>-0.27846710000000002</v>
      </c>
      <c r="U105" s="13">
        <v>-4.8238820000000002</v>
      </c>
      <c r="V105" s="13">
        <v>4.585585</v>
      </c>
      <c r="W105">
        <v>34</v>
      </c>
      <c r="X105" s="11"/>
    </row>
    <row r="106" spans="1:24" x14ac:dyDescent="0.25">
      <c r="A106">
        <v>21272</v>
      </c>
      <c r="B106">
        <v>471</v>
      </c>
      <c r="C106" t="s">
        <v>83</v>
      </c>
      <c r="D106" s="11" t="s">
        <v>84</v>
      </c>
      <c r="E106" t="s">
        <v>82</v>
      </c>
      <c r="F106" t="s">
        <v>137</v>
      </c>
      <c r="G106" t="s">
        <v>79</v>
      </c>
      <c r="H106" s="13">
        <v>24.2</v>
      </c>
      <c r="I106" s="13">
        <v>-1.17</v>
      </c>
      <c r="J106" s="13">
        <v>-2.0099999999999998</v>
      </c>
      <c r="K106" s="13">
        <v>-1.08</v>
      </c>
      <c r="L106" s="13">
        <v>-0.93</v>
      </c>
      <c r="M106" s="13">
        <v>0.08</v>
      </c>
      <c r="N106" s="13">
        <v>0.09</v>
      </c>
      <c r="O106" s="13">
        <v>-0.15</v>
      </c>
      <c r="P106" s="13">
        <v>25.319659999999999</v>
      </c>
      <c r="Q106" s="13">
        <v>21.162610000000001</v>
      </c>
      <c r="R106" s="13">
        <v>29.98274</v>
      </c>
      <c r="S106" s="12">
        <v>105</v>
      </c>
      <c r="T106" s="13">
        <v>-2.8412850000000001</v>
      </c>
      <c r="U106" s="13">
        <v>-7.6044429999999998</v>
      </c>
      <c r="V106" s="13">
        <v>1.5676870000000001</v>
      </c>
      <c r="W106">
        <v>2</v>
      </c>
      <c r="X106" s="11"/>
    </row>
    <row r="107" spans="1:24" x14ac:dyDescent="0.25">
      <c r="A107">
        <v>22242</v>
      </c>
      <c r="B107">
        <v>83</v>
      </c>
      <c r="C107" t="s">
        <v>83</v>
      </c>
      <c r="D107" s="11" t="s">
        <v>85</v>
      </c>
      <c r="E107" t="s">
        <v>82</v>
      </c>
      <c r="F107" t="s">
        <v>134</v>
      </c>
      <c r="G107" t="s">
        <v>79</v>
      </c>
      <c r="H107" s="13">
        <v>30.12</v>
      </c>
      <c r="I107" s="13">
        <v>-1.03</v>
      </c>
      <c r="J107" s="13">
        <v>-2.0099999999999998</v>
      </c>
      <c r="K107" s="13">
        <v>-1.08</v>
      </c>
      <c r="L107" s="13">
        <v>-1.19</v>
      </c>
      <c r="M107" s="13">
        <v>0.11</v>
      </c>
      <c r="N107" s="13">
        <v>0.14000000000000001</v>
      </c>
      <c r="O107" s="13">
        <v>0.11</v>
      </c>
      <c r="P107" s="13">
        <v>25.32516</v>
      </c>
      <c r="Q107" s="13">
        <v>19.417680000000001</v>
      </c>
      <c r="R107" s="13">
        <v>32.309289999999997</v>
      </c>
      <c r="S107" s="12">
        <v>106</v>
      </c>
      <c r="T107" s="13">
        <v>2.3572989999999998</v>
      </c>
      <c r="U107" s="13">
        <v>-3.7531560000000002</v>
      </c>
      <c r="V107" s="13">
        <v>9.4332069999999995</v>
      </c>
      <c r="W107">
        <v>106</v>
      </c>
      <c r="X107" s="11"/>
    </row>
    <row r="108" spans="1:24" x14ac:dyDescent="0.25">
      <c r="A108">
        <v>21271</v>
      </c>
      <c r="B108">
        <v>268</v>
      </c>
      <c r="C108" t="s">
        <v>83</v>
      </c>
      <c r="D108" s="11" t="s">
        <v>84</v>
      </c>
      <c r="E108" t="s">
        <v>82</v>
      </c>
      <c r="F108" t="s">
        <v>137</v>
      </c>
      <c r="G108" t="s">
        <v>78</v>
      </c>
      <c r="H108" s="13">
        <v>29.85</v>
      </c>
      <c r="I108" s="13">
        <v>-0.92</v>
      </c>
      <c r="J108" s="13">
        <v>-2.0099999999999998</v>
      </c>
      <c r="K108" s="13">
        <v>-1.01</v>
      </c>
      <c r="L108" s="13">
        <v>-1.24</v>
      </c>
      <c r="M108" s="13">
        <v>0.08</v>
      </c>
      <c r="N108" s="13">
        <v>0.11</v>
      </c>
      <c r="O108" s="13">
        <v>0.23</v>
      </c>
      <c r="P108" s="13">
        <v>26.716909999999999</v>
      </c>
      <c r="Q108" s="13">
        <v>21.912579999999998</v>
      </c>
      <c r="R108" s="13">
        <v>32.141030000000001</v>
      </c>
      <c r="S108" s="12">
        <v>107</v>
      </c>
      <c r="T108" s="13">
        <v>4.157673</v>
      </c>
      <c r="U108" s="13">
        <v>-1.118126</v>
      </c>
      <c r="V108" s="13">
        <v>9.2566559999999996</v>
      </c>
      <c r="W108">
        <v>110</v>
      </c>
      <c r="X108" s="11"/>
    </row>
    <row r="109" spans="1:24" x14ac:dyDescent="0.25">
      <c r="A109">
        <v>22232</v>
      </c>
      <c r="B109">
        <v>276</v>
      </c>
      <c r="C109" t="s">
        <v>83</v>
      </c>
      <c r="D109" s="11" t="s">
        <v>85</v>
      </c>
      <c r="E109" t="s">
        <v>82</v>
      </c>
      <c r="F109" t="s">
        <v>133</v>
      </c>
      <c r="G109" t="s">
        <v>79</v>
      </c>
      <c r="H109" s="13">
        <v>27.9</v>
      </c>
      <c r="I109" s="13">
        <v>-1.01</v>
      </c>
      <c r="J109" s="13">
        <v>-2.0099999999999998</v>
      </c>
      <c r="K109" s="13">
        <v>-0.98</v>
      </c>
      <c r="L109" s="13">
        <v>-1.01</v>
      </c>
      <c r="M109" s="13">
        <v>0.08</v>
      </c>
      <c r="N109" s="13">
        <v>0.1</v>
      </c>
      <c r="O109" s="13">
        <v>0.04</v>
      </c>
      <c r="P109" s="13">
        <v>27.372489999999999</v>
      </c>
      <c r="Q109" s="13">
        <v>22.487839999999998</v>
      </c>
      <c r="R109" s="13">
        <v>32.86824</v>
      </c>
      <c r="S109" s="12">
        <v>108</v>
      </c>
      <c r="T109" s="13">
        <v>0.67467359999999998</v>
      </c>
      <c r="U109" s="13">
        <v>-4.1785329999999998</v>
      </c>
      <c r="V109" s="13">
        <v>6.2939660000000002</v>
      </c>
      <c r="W109">
        <v>92</v>
      </c>
      <c r="X109" s="11"/>
    </row>
    <row r="110" spans="1:24" x14ac:dyDescent="0.25">
      <c r="A110">
        <v>22262</v>
      </c>
      <c r="B110">
        <v>197</v>
      </c>
      <c r="C110" t="s">
        <v>83</v>
      </c>
      <c r="D110" s="11" t="s">
        <v>85</v>
      </c>
      <c r="E110" t="s">
        <v>82</v>
      </c>
      <c r="F110" t="s">
        <v>136</v>
      </c>
      <c r="G110" t="s">
        <v>79</v>
      </c>
      <c r="H110" s="13">
        <v>32.49</v>
      </c>
      <c r="I110" s="13">
        <v>-0.82</v>
      </c>
      <c r="J110" s="13">
        <v>-2.0099999999999998</v>
      </c>
      <c r="K110" s="13">
        <v>-0.87</v>
      </c>
      <c r="L110" s="13">
        <v>-1.03</v>
      </c>
      <c r="M110" s="13">
        <v>0.09</v>
      </c>
      <c r="N110" s="13">
        <v>0.11</v>
      </c>
      <c r="O110" s="13">
        <v>0.16</v>
      </c>
      <c r="P110" s="13">
        <v>29.498539999999998</v>
      </c>
      <c r="Q110" s="13">
        <v>23.944680000000002</v>
      </c>
      <c r="R110" s="13">
        <v>35.735309999999998</v>
      </c>
      <c r="S110" s="12">
        <v>109</v>
      </c>
      <c r="T110" s="13">
        <v>3.4004569999999998</v>
      </c>
      <c r="U110" s="13">
        <v>-2.2969900000000001</v>
      </c>
      <c r="V110" s="13">
        <v>9.6811389999999999</v>
      </c>
      <c r="W110">
        <v>109</v>
      </c>
      <c r="X110" s="11"/>
    </row>
    <row r="111" spans="1:24" x14ac:dyDescent="0.25">
      <c r="A111">
        <v>22172</v>
      </c>
      <c r="B111">
        <v>197</v>
      </c>
      <c r="C111" t="s">
        <v>83</v>
      </c>
      <c r="D111" s="11" t="s">
        <v>85</v>
      </c>
      <c r="E111" t="s">
        <v>76</v>
      </c>
      <c r="F111" t="s">
        <v>137</v>
      </c>
      <c r="G111" t="s">
        <v>79</v>
      </c>
      <c r="H111" s="13">
        <v>32.99</v>
      </c>
      <c r="I111" s="13">
        <v>-0.8</v>
      </c>
      <c r="J111" s="13">
        <v>-2.0099999999999998</v>
      </c>
      <c r="K111" s="13">
        <v>-0.82</v>
      </c>
      <c r="L111" s="13">
        <v>-0.95</v>
      </c>
      <c r="M111" s="13">
        <v>0.08</v>
      </c>
      <c r="N111" s="13">
        <v>0.11</v>
      </c>
      <c r="O111" s="13">
        <v>0.13</v>
      </c>
      <c r="P111" s="13">
        <v>30.586839999999999</v>
      </c>
      <c r="Q111" s="13">
        <v>25.10003</v>
      </c>
      <c r="R111" s="13">
        <v>36.685600000000001</v>
      </c>
      <c r="S111" s="12">
        <v>110</v>
      </c>
      <c r="T111" s="13">
        <v>2.7129759999999998</v>
      </c>
      <c r="U111" s="13">
        <v>-2.7403230000000001</v>
      </c>
      <c r="V111" s="13">
        <v>8.7196540000000002</v>
      </c>
      <c r="W111">
        <v>108</v>
      </c>
      <c r="X111" s="11"/>
    </row>
    <row r="112" spans="1:24" x14ac:dyDescent="0.25">
      <c r="A112">
        <v>22271</v>
      </c>
      <c r="B112">
        <v>170</v>
      </c>
      <c r="C112" t="s">
        <v>83</v>
      </c>
      <c r="D112" s="11" t="s">
        <v>85</v>
      </c>
      <c r="E112" t="s">
        <v>82</v>
      </c>
      <c r="F112" t="s">
        <v>137</v>
      </c>
      <c r="G112" t="s">
        <v>78</v>
      </c>
      <c r="H112" s="13">
        <v>40</v>
      </c>
      <c r="I112" s="13">
        <v>-0.52</v>
      </c>
      <c r="J112" s="13">
        <v>-2.0099999999999998</v>
      </c>
      <c r="K112" s="13">
        <v>-0.6</v>
      </c>
      <c r="L112" s="13">
        <v>-0.81</v>
      </c>
      <c r="M112" s="13">
        <v>0.08</v>
      </c>
      <c r="N112" s="13">
        <v>0.12</v>
      </c>
      <c r="O112" s="13">
        <v>0.21</v>
      </c>
      <c r="P112" s="13">
        <v>35.463389999999997</v>
      </c>
      <c r="Q112" s="13">
        <v>29.385169999999999</v>
      </c>
      <c r="R112" s="13">
        <v>42.050190000000001</v>
      </c>
      <c r="S112" s="12">
        <v>111</v>
      </c>
      <c r="T112" s="13">
        <v>4.9022550000000003</v>
      </c>
      <c r="U112" s="13">
        <v>-1.3402689999999999</v>
      </c>
      <c r="V112" s="13">
        <v>11.31776</v>
      </c>
      <c r="W112">
        <v>112</v>
      </c>
      <c r="X112" s="11"/>
    </row>
    <row r="113" spans="1:24" x14ac:dyDescent="0.25">
      <c r="A113">
        <v>22272</v>
      </c>
      <c r="B113">
        <v>341</v>
      </c>
      <c r="C113" t="s">
        <v>83</v>
      </c>
      <c r="D113" s="11" t="s">
        <v>85</v>
      </c>
      <c r="E113" t="s">
        <v>82</v>
      </c>
      <c r="F113" t="s">
        <v>137</v>
      </c>
      <c r="G113" t="s">
        <v>79</v>
      </c>
      <c r="H113" s="13">
        <v>35.78</v>
      </c>
      <c r="I113" s="13">
        <v>-0.64</v>
      </c>
      <c r="J113" s="13">
        <v>-2.0099999999999998</v>
      </c>
      <c r="K113" s="13">
        <v>-0.56000000000000005</v>
      </c>
      <c r="L113" s="13">
        <v>-0.5</v>
      </c>
      <c r="M113" s="13">
        <v>0.08</v>
      </c>
      <c r="N113" s="13">
        <v>0.09</v>
      </c>
      <c r="O113" s="13">
        <v>-0.06</v>
      </c>
      <c r="P113" s="13">
        <v>36.346359999999997</v>
      </c>
      <c r="Q113" s="13">
        <v>30.98874</v>
      </c>
      <c r="R113" s="13">
        <v>42.065640000000002</v>
      </c>
      <c r="S113" s="12">
        <v>112</v>
      </c>
      <c r="T113" s="13">
        <v>-1.3596509999999999</v>
      </c>
      <c r="U113" s="13">
        <v>-6.6958130000000002</v>
      </c>
      <c r="V113" s="13">
        <v>4.370495</v>
      </c>
      <c r="W113">
        <v>8</v>
      </c>
      <c r="X113" s="11"/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C7618-1325-48FF-9AB2-305108594208}">
  <dimension ref="A1"/>
  <sheetViews>
    <sheetView workbookViewId="0">
      <selection activeCell="H1" sqref="H1:L21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Descriptive</vt:lpstr>
      <vt:lpstr>Models</vt:lpstr>
      <vt:lpstr>Prevalence</vt:lpstr>
      <vt:lpstr>Hoja2</vt:lpstr>
      <vt:lpstr>Predicted Probability</vt:lpstr>
      <vt:lpstr>Strata 2</vt:lpstr>
      <vt:lpstr>Strata 2-STATA</vt:lpstr>
      <vt:lpstr>Strata 3</vt:lpstr>
      <vt:lpstr>Strata 3-STATA</vt:lpstr>
      <vt:lpstr>Strata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Juanita Mora</dc:creator>
  <cp:lastModifiedBy>Juanita Mora</cp:lastModifiedBy>
  <dcterms:created xsi:type="dcterms:W3CDTF">2015-06-05T18:17:20Z</dcterms:created>
  <dcterms:modified xsi:type="dcterms:W3CDTF">2026-05-11T08:23:51Z</dcterms:modified>
</cp:coreProperties>
</file>